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Workstream Summary" sheetId="3" state="visible" r:id="rId3"/>
    <sheet xmlns:r="http://schemas.openxmlformats.org/officeDocument/2006/relationships" name="Roadmap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E2761"/>
      <sz val="20"/>
    </font>
    <font>
      <name val="Arial"/>
      <charset val="1"/>
      <family val="0"/>
      <color rgb="FF1E2761"/>
      <sz val="12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00"/>
      <sz val="13"/>
    </font>
    <font>
      <name val="Arial"/>
      <charset val="1"/>
      <family val="0"/>
      <b val="1"/>
      <color rgb="FF9C2B2B"/>
      <sz val="10"/>
    </font>
    <font>
      <name val="Arial"/>
      <charset val="1"/>
      <family val="0"/>
      <b val="1"/>
      <color rgb="FF9C2B2B"/>
      <sz val="13"/>
    </font>
    <font>
      <name val="Arial"/>
      <charset val="1"/>
      <family val="0"/>
      <b val="1"/>
      <color rgb="FF276221"/>
      <sz val="10"/>
    </font>
    <font>
      <name val="Arial"/>
      <charset val="1"/>
      <family val="0"/>
      <b val="1"/>
      <color rgb="FF276221"/>
      <sz val="13"/>
    </font>
    <font>
      <name val="Arial"/>
      <charset val="1"/>
      <family val="0"/>
      <b val="1"/>
      <color rgb="FF7B5C00"/>
      <sz val="10"/>
    </font>
    <font>
      <name val="Arial"/>
      <charset val="1"/>
      <family val="0"/>
      <b val="1"/>
      <color rgb="FF7B5C00"/>
      <sz val="13"/>
    </font>
    <font>
      <name val="Arial"/>
      <charset val="1"/>
      <family val="0"/>
      <b val="1"/>
      <color rgb="FF1F497D"/>
      <sz val="10"/>
    </font>
    <font>
      <name val="Arial"/>
      <charset val="1"/>
      <family val="0"/>
      <b val="1"/>
      <color rgb="FF1F497D"/>
      <sz val="13"/>
    </font>
    <font>
      <name val="Arial"/>
      <charset val="1"/>
      <family val="0"/>
      <i val="1"/>
      <color rgb="FF80808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2761"/>
      <sz val="18"/>
    </font>
    <font>
      <name val="Arial"/>
      <charset val="1"/>
      <family val="0"/>
      <b val="1"/>
      <color rgb="FF1E2761"/>
      <sz val="11"/>
    </font>
    <font>
      <name val="Arial"/>
      <charset val="1"/>
      <family val="0"/>
      <b val="1"/>
      <color rgb="FF000000"/>
      <sz val="12"/>
    </font>
    <font>
      <name val="Arial"/>
      <charset val="1"/>
      <family val="0"/>
      <i val="1"/>
      <color rgb="FF595959"/>
      <sz val="9"/>
    </font>
  </fonts>
  <fills count="12">
    <fill>
      <patternFill/>
    </fill>
    <fill>
      <patternFill patternType="gray125"/>
    </fill>
    <fill>
      <patternFill patternType="solid">
        <fgColor rgb="FFEEF2FB"/>
        <bgColor rgb="FFF0F0FF"/>
      </patternFill>
    </fill>
    <fill>
      <patternFill patternType="solid">
        <fgColor rgb="FF1E2761"/>
        <bgColor rgb="FF333333"/>
      </patternFill>
    </fill>
    <fill>
      <patternFill patternType="solid">
        <fgColor rgb="FFFFC7CE"/>
        <bgColor rgb="FFCCCCCC"/>
      </patternFill>
    </fill>
    <fill>
      <patternFill patternType="solid">
        <fgColor rgb="FFC6EFCE"/>
        <bgColor rgb="FFE8F4E8"/>
      </patternFill>
    </fill>
    <fill>
      <patternFill patternType="solid">
        <fgColor rgb="FFFFEB9C"/>
        <bgColor rgb="FFFFF8E7"/>
      </patternFill>
    </fill>
    <fill>
      <patternFill patternType="solid">
        <fgColor rgb="FFBDD7EE"/>
        <bgColor rgb="FFCCCCCC"/>
      </patternFill>
    </fill>
    <fill>
      <patternFill patternType="solid">
        <fgColor rgb="FFE8F4E8"/>
        <bgColor rgb="FFEEF2FB"/>
      </patternFill>
    </fill>
    <fill>
      <patternFill patternType="solid">
        <fgColor rgb="FFFFF8E7"/>
        <bgColor rgb="FFFFF0F0"/>
      </patternFill>
    </fill>
    <fill>
      <patternFill patternType="solid">
        <fgColor rgb="FFFFF0F0"/>
        <bgColor rgb="FFFFF8E7"/>
      </patternFill>
    </fill>
    <fill>
      <patternFill patternType="solid">
        <fgColor rgb="FFF0F0FF"/>
        <bgColor rgb="FFEEF2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4" fontId="13" fillId="2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  <xf numFmtId="0" fontId="20" fillId="4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top" wrapText="1"/>
    </xf>
    <xf numFmtId="0" fontId="22" fillId="2" borderId="1" applyAlignment="1" pivotButton="0" quotePrefix="0" xfId="0">
      <alignment horizontal="left" vertical="top" wrapText="1"/>
    </xf>
    <xf numFmtId="0" fontId="25" fillId="2" borderId="1" applyAlignment="1" pivotButton="0" quotePrefix="0" xfId="0">
      <alignment horizontal="center" vertical="center"/>
    </xf>
    <xf numFmtId="0" fontId="24" fillId="8" borderId="1" applyAlignment="1" pivotButton="0" quotePrefix="0" xfId="0">
      <alignment horizontal="left" vertical="top" wrapText="1"/>
    </xf>
    <xf numFmtId="0" fontId="22" fillId="8" borderId="1" applyAlignment="1" pivotButton="0" quotePrefix="0" xfId="0">
      <alignment horizontal="left" vertical="top" wrapText="1"/>
    </xf>
    <xf numFmtId="0" fontId="25" fillId="8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top" wrapText="1"/>
    </xf>
    <xf numFmtId="0" fontId="22" fillId="9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left" vertical="top" wrapText="1"/>
    </xf>
    <xf numFmtId="0" fontId="22" fillId="1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left" vertical="top" wrapText="1"/>
    </xf>
    <xf numFmtId="0" fontId="22" fillId="11" borderId="1" applyAlignment="1" pivotButton="0" quotePrefix="0" xfId="0">
      <alignment horizontal="left" vertical="top" wrapText="1"/>
    </xf>
    <xf numFmtId="0" fontId="25" fillId="11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4" fontId="13" fillId="2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  <xf numFmtId="0" fontId="20" fillId="4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top" wrapText="1"/>
    </xf>
    <xf numFmtId="0" fontId="22" fillId="2" borderId="1" applyAlignment="1" pivotButton="0" quotePrefix="0" xfId="0">
      <alignment horizontal="left" vertical="top" wrapText="1"/>
    </xf>
    <xf numFmtId="0" fontId="25" fillId="2" borderId="1" applyAlignment="1" pivotButton="0" quotePrefix="0" xfId="0">
      <alignment horizontal="center" vertical="center"/>
    </xf>
    <xf numFmtId="0" fontId="24" fillId="8" borderId="1" applyAlignment="1" pivotButton="0" quotePrefix="0" xfId="0">
      <alignment horizontal="left" vertical="top" wrapText="1"/>
    </xf>
    <xf numFmtId="0" fontId="22" fillId="8" borderId="1" applyAlignment="1" pivotButton="0" quotePrefix="0" xfId="0">
      <alignment horizontal="left" vertical="top" wrapText="1"/>
    </xf>
    <xf numFmtId="0" fontId="25" fillId="8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top" wrapText="1"/>
    </xf>
    <xf numFmtId="0" fontId="22" fillId="9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left" vertical="top" wrapText="1"/>
    </xf>
    <xf numFmtId="0" fontId="22" fillId="1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left" vertical="top" wrapText="1"/>
    </xf>
    <xf numFmtId="0" fontId="22" fillId="11" borderId="1" applyAlignment="1" pivotButton="0" quotePrefix="0" xfId="0">
      <alignment horizontal="left" vertical="top" wrapText="1"/>
    </xf>
    <xf numFmtId="0" fontId="25" fillId="11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7B5C00"/>
      <rgbColor rgb="FF800080"/>
      <rgbColor rgb="FF008080"/>
      <rgbColor rgb="FFCCCCCC"/>
      <rgbColor rgb="FF808080"/>
      <rgbColor rgb="FF9999FF"/>
      <rgbColor rgb="FF993366"/>
      <rgbColor rgb="FFFFF8E7"/>
      <rgbColor rgb="FFE8F4E8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B"/>
      <rgbColor rgb="FFC6EFCE"/>
      <rgbColor rgb="FFFFEB9C"/>
      <rgbColor rgb="FFF0F0FF"/>
      <rgbColor rgb="FFFFF0F0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2761"/>
      <rgbColor rgb="FF339966"/>
      <rgbColor rgb="FF003300"/>
      <rgbColor rgb="FF333300"/>
      <rgbColor rgb="FF9C2B2B"/>
      <rgbColor rgb="FF993366"/>
      <rgbColor rgb="FF1F497D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8" min="1" max="1"/>
    <col width="30" customWidth="1" style="48" min="2" max="2"/>
    <col width="22" customWidth="1" style="48" min="3" max="3"/>
    <col width="4" customWidth="1" style="48" min="4" max="4"/>
    <col width="30" customWidth="1" style="48" min="5" max="5"/>
    <col width="22" customWidth="1" style="48" min="6" max="6"/>
    <col width="4" customWidth="1" style="48" min="7" max="7"/>
  </cols>
  <sheetData>
    <row r="1" ht="7.5" customHeight="1" s="49"/>
    <row r="2" ht="37.5" customHeight="1" s="49">
      <c r="B2" s="50" t="inlineStr">
        <is>
          <t>OSSPolicyGuard — Requirements Tracker</t>
        </is>
      </c>
    </row>
    <row r="3" ht="21.75" customHeight="1" s="49">
      <c r="B3" s="51" t="inlineStr">
        <is>
          <t>Leadership: Surya Nalluri</t>
        </is>
      </c>
    </row>
    <row r="4" ht="19.5" customHeight="1" s="49">
      <c r="B4" s="52" t="inlineStr">
        <is>
          <t>As of August 2026</t>
        </is>
      </c>
    </row>
    <row r="5" ht="9.75" customHeight="1" s="49"/>
    <row r="6" ht="9.75" customHeight="1" s="49"/>
    <row r="7" ht="27.75" customHeight="1" s="49">
      <c r="B7" s="53" t="inlineStr">
        <is>
          <t>STATUS SUMMARY</t>
        </is>
      </c>
      <c r="E7" s="53" t="inlineStr">
        <is>
          <t>PRIORITY BREAKDOWN</t>
        </is>
      </c>
    </row>
    <row r="8" ht="25.5" customHeight="1" s="49">
      <c r="B8" s="54" t="inlineStr">
        <is>
          <t>Total Requirements</t>
        </is>
      </c>
      <c r="C8" s="55">
        <f>COUNTA(Requirements!A:A)-1</f>
        <v/>
      </c>
      <c r="E8" s="56" t="inlineStr">
        <is>
          <t>P0 — Critical</t>
        </is>
      </c>
      <c r="F8" s="57">
        <f>COUNTIF(Requirements!D:D,"P0")</f>
        <v/>
      </c>
    </row>
    <row r="9" ht="25.5" customHeight="1" s="49">
      <c r="B9" s="58" t="inlineStr">
        <is>
          <t>Completed (✅)</t>
        </is>
      </c>
      <c r="C9" s="59">
        <f>COUNTIF(Requirements!E:E,"✅ Done")</f>
        <v/>
      </c>
      <c r="E9" s="60" t="inlineStr">
        <is>
          <t>P1 — High</t>
        </is>
      </c>
      <c r="F9" s="61">
        <f>COUNTIF(Requirements!D:D,"P1")</f>
        <v/>
      </c>
    </row>
    <row r="10" ht="25.5" customHeight="1" s="49">
      <c r="B10" s="60" t="inlineStr">
        <is>
          <t>In Progress (🔄)</t>
        </is>
      </c>
      <c r="C10" s="61">
        <f>COUNTIF(Requirements!E:E,"🔄 In Progress")</f>
        <v/>
      </c>
      <c r="E10" s="62" t="inlineStr">
        <is>
          <t>P2 — Research</t>
        </is>
      </c>
      <c r="F10" s="63">
        <f>COUNTIF(Requirements!D:D,"P2")</f>
        <v/>
      </c>
    </row>
    <row r="11" ht="25.5" customHeight="1" s="49">
      <c r="B11" s="56" t="inlineStr">
        <is>
          <t>Not Started (❌)</t>
        </is>
      </c>
      <c r="C11" s="57">
        <f>COUNTIF(Requirements!E:E,"❌ Not Started")</f>
        <v/>
      </c>
      <c r="E11" s="64" t="inlineStr">
        <is>
          <t>% Complete</t>
        </is>
      </c>
      <c r="F11" s="65">
        <f>COUNTIF(Requirements!E:E,"✅ Done")/(COUNTA(Requirements!A:A)-1)</f>
        <v/>
      </c>
    </row>
    <row r="12"/>
    <row r="13" ht="13.5" customHeight="1" s="49"/>
    <row r="14" ht="25.5" customHeight="1" s="49">
      <c r="B14" s="66" t="inlineStr">
        <is>
          <t>Formulas reference the Requirements sheet. Refresh to update counts after adding rows.</t>
        </is>
      </c>
    </row>
  </sheetData>
  <mergeCells count="6">
    <mergeCell ref="B4:F4"/>
    <mergeCell ref="B7:C7"/>
    <mergeCell ref="B2:F2"/>
    <mergeCell ref="E7:F7"/>
    <mergeCell ref="B3:F3"/>
    <mergeCell ref="B14:F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48" min="1" max="1"/>
    <col width="30" customWidth="1" style="48" min="2" max="2"/>
    <col width="40" customWidth="1" style="48" min="3" max="3"/>
    <col width="10" customWidth="1" style="48" min="4" max="4"/>
    <col width="18" customWidth="1" style="48" min="5" max="5"/>
    <col width="70" customWidth="1" style="48" min="6" max="6"/>
    <col width="35" customWidth="1" style="48" min="7" max="7"/>
    <col width="40" customWidth="1" style="48" min="8" max="8"/>
  </cols>
  <sheetData>
    <row r="1" ht="27.75" customHeight="1" s="49">
      <c r="A1" s="67" t="inlineStr">
        <is>
          <t>OPG ID</t>
        </is>
      </c>
      <c r="B1" s="67" t="inlineStr">
        <is>
          <t>Workstream</t>
        </is>
      </c>
      <c r="C1" s="67" t="inlineStr">
        <is>
          <t>Feature Name</t>
        </is>
      </c>
      <c r="D1" s="67" t="inlineStr">
        <is>
          <t>Priority</t>
        </is>
      </c>
      <c r="E1" s="67" t="inlineStr">
        <is>
          <t>Status</t>
        </is>
      </c>
      <c r="F1" s="67" t="inlineStr">
        <is>
          <t>Description / Acceptance Criteria</t>
        </is>
      </c>
      <c r="G1" s="67" t="inlineStr">
        <is>
          <t>Module / File</t>
        </is>
      </c>
      <c r="H1" s="67" t="inlineStr">
        <is>
          <t>Notes</t>
        </is>
      </c>
    </row>
    <row r="2" ht="39.75" customHeight="1" s="49">
      <c r="A2" s="68" t="inlineStr">
        <is>
          <t>OPG-001</t>
        </is>
      </c>
      <c r="B2" s="68" t="inlineStr">
        <is>
          <t>WS01 System Architecture</t>
        </is>
      </c>
      <c r="C2" s="68" t="inlineStr">
        <is>
          <t>Single-module Python application</t>
        </is>
      </c>
      <c r="D2" s="69" t="inlineStr">
        <is>
          <t>P0</t>
        </is>
      </c>
      <c r="E2" s="70" t="inlineStr">
        <is>
          <t>✅ Done</t>
        </is>
      </c>
      <c r="F2" s="68" t="inlineStr">
        <is>
          <t>Single-module Python app (oss_scorer.py) with four main classes and provider layer; 1,514 lines</t>
        </is>
      </c>
      <c r="G2" s="68" t="inlineStr">
        <is>
          <t>oss_scorer.py</t>
        </is>
      </c>
      <c r="H2" s="68" t="inlineStr">
        <is>
          <t>Core module</t>
        </is>
      </c>
    </row>
    <row r="3" ht="39.75" customHeight="1" s="49">
      <c r="A3" s="68" t="inlineStr">
        <is>
          <t>OPG-002</t>
        </is>
      </c>
      <c r="B3" s="68" t="inlineStr">
        <is>
          <t>WS01 System Architecture</t>
        </is>
      </c>
      <c r="C3" s="68" t="inlineStr">
        <is>
          <t>Singleton configuration manager</t>
        </is>
      </c>
      <c r="D3" s="69" t="inlineStr">
        <is>
          <t>P0</t>
        </is>
      </c>
      <c r="E3" s="70" t="inlineStr">
        <is>
          <t>✅ Done</t>
        </is>
      </c>
      <c r="F3" s="68" t="inlineStr">
        <is>
          <t>OSSConfig singleton — one instance per process; loads config.yaml at startup</t>
        </is>
      </c>
      <c r="G3" s="68" t="inlineStr">
        <is>
          <t>oss_scorer.py</t>
        </is>
      </c>
      <c r="H3" s="68" t="n"/>
    </row>
    <row r="4" ht="39.75" customHeight="1" s="49">
      <c r="A4" s="68" t="inlineStr">
        <is>
          <t>OPG-003</t>
        </is>
      </c>
      <c r="B4" s="68" t="inlineStr">
        <is>
          <t>WS01 System Architecture</t>
        </is>
      </c>
      <c r="C4" s="68" t="inlineStr">
        <is>
          <t>Provider abstraction layer</t>
        </is>
      </c>
      <c r="D4" s="69" t="inlineStr">
        <is>
          <t>P0</t>
        </is>
      </c>
      <c r="E4" s="70" t="inlineStr">
        <is>
          <t>✅ Done</t>
        </is>
      </c>
      <c r="F4" s="68" t="inlineStr">
        <is>
          <t>ProviderBase ABC with shared HTTP, caching, rate-limiting, and retry logic</t>
        </is>
      </c>
      <c r="G4" s="68" t="inlineStr">
        <is>
          <t>src/osspolicyguard/providers/__init__.py</t>
        </is>
      </c>
      <c r="H4" s="68" t="n"/>
    </row>
    <row r="5" ht="39.75" customHeight="1" s="49">
      <c r="A5" s="68" t="inlineStr">
        <is>
          <t>OPG-004</t>
        </is>
      </c>
      <c r="B5" s="68" t="inlineStr">
        <is>
          <t>WS01 System Architecture</t>
        </is>
      </c>
      <c r="C5" s="68" t="inlineStr">
        <is>
          <t>Structured provider responses</t>
        </is>
      </c>
      <c r="D5" s="69" t="inlineStr">
        <is>
          <t>P0</t>
        </is>
      </c>
      <c r="E5" s="70" t="inlineStr">
        <is>
          <t>✅ Done</t>
        </is>
      </c>
      <c r="F5" s="68" t="inlineStr">
        <is>
          <t>ProviderResponse dataclass with provider, status, fetched_at, data, error, source_url, confidence</t>
        </is>
      </c>
      <c r="G5" s="68" t="inlineStr">
        <is>
          <t>src/osspolicyguard/providers/__init__.py</t>
        </is>
      </c>
      <c r="H5" s="68" t="n"/>
    </row>
    <row r="6" ht="39.75" customHeight="1" s="49">
      <c r="A6" s="68" t="inlineStr">
        <is>
          <t>OPG-005</t>
        </is>
      </c>
      <c r="B6" s="68" t="inlineStr">
        <is>
          <t>WS01 System Architecture</t>
        </is>
      </c>
      <c r="C6" s="68" t="inlineStr">
        <is>
          <t>Structured error model</t>
        </is>
      </c>
      <c r="D6" s="69" t="inlineStr">
        <is>
          <t>P0</t>
        </is>
      </c>
      <c r="E6" s="70" t="inlineStr">
        <is>
          <t>✅ Done</t>
        </is>
      </c>
      <c r="F6" s="68" t="inlineStr">
        <is>
          <t>ProviderError captures provider name, ProviderStatus enum, message, details</t>
        </is>
      </c>
      <c r="G6" s="68" t="inlineStr">
        <is>
          <t>src/osspolicyguard/providers/__init__.py</t>
        </is>
      </c>
      <c r="H6" s="68" t="n"/>
    </row>
    <row r="7" ht="39.75" customHeight="1" s="49">
      <c r="A7" s="68" t="inlineStr">
        <is>
          <t>OPG-006</t>
        </is>
      </c>
      <c r="B7" s="68" t="inlineStr">
        <is>
          <t>WS01 System Architecture</t>
        </is>
      </c>
      <c r="C7" s="68" t="inlineStr">
        <is>
          <t>Provider status enumeration</t>
        </is>
      </c>
      <c r="D7" s="69" t="inlineStr">
        <is>
          <t>P0</t>
        </is>
      </c>
      <c r="E7" s="70" t="inlineStr">
        <is>
          <t>✅ Done</t>
        </is>
      </c>
      <c r="F7" s="68" t="inlineStr">
        <is>
          <t>ProviderStatus: SUCCESS, TIMEOUT, RATE_LIMIT, AUTH_ERROR, MALFORMED, UNAVAILABLE, UNKNOWN, STALE</t>
        </is>
      </c>
      <c r="G7" s="68" t="inlineStr">
        <is>
          <t>src/osspolicyguard/providers/__init__.py</t>
        </is>
      </c>
      <c r="H7" s="68" t="n"/>
    </row>
    <row r="8" ht="39.75" customHeight="1" s="49">
      <c r="A8" s="68" t="inlineStr">
        <is>
          <t>OPG-007</t>
        </is>
      </c>
      <c r="B8" s="68" t="inlineStr">
        <is>
          <t>WS01 System Architecture</t>
        </is>
      </c>
      <c r="C8" s="68" t="inlineStr">
        <is>
          <t>TTL-based in-memory response cache</t>
        </is>
      </c>
      <c r="D8" s="69" t="inlineStr">
        <is>
          <t>P0</t>
        </is>
      </c>
      <c r="E8" s="70" t="inlineStr">
        <is>
          <t>✅ Done</t>
        </is>
      </c>
      <c r="F8" s="68" t="inlineStr">
        <is>
          <t>SimpleCache per-provider; expires entries on read; configurable TTL</t>
        </is>
      </c>
      <c r="G8" s="68" t="inlineStr">
        <is>
          <t>oss_scorer.py</t>
        </is>
      </c>
      <c r="H8" s="68" t="n"/>
    </row>
    <row r="9" ht="39.75" customHeight="1" s="49">
      <c r="A9" s="68" t="inlineStr">
        <is>
          <t>OPG-008</t>
        </is>
      </c>
      <c r="B9" s="68" t="inlineStr">
        <is>
          <t>WS01 System Architecture</t>
        </is>
      </c>
      <c r="C9" s="68" t="inlineStr">
        <is>
          <t>Exponential backoff retry</t>
        </is>
      </c>
      <c r="D9" s="69" t="inlineStr">
        <is>
          <t>P0</t>
        </is>
      </c>
      <c r="E9" s="70" t="inlineStr">
        <is>
          <t>✅ Done</t>
        </is>
      </c>
      <c r="F9" s="68" t="inlineStr">
        <is>
          <t>ProviderBase._get() with configurable retries and backoff factor on transient HTTP errors</t>
        </is>
      </c>
      <c r="G9" s="68" t="inlineStr">
        <is>
          <t>oss_scorer.py</t>
        </is>
      </c>
      <c r="H9" s="68" t="n"/>
    </row>
    <row r="10" ht="39.75" customHeight="1" s="49">
      <c r="A10" s="68" t="inlineStr">
        <is>
          <t>OPG-009</t>
        </is>
      </c>
      <c r="B10" s="68" t="inlineStr">
        <is>
          <t>WS01 System Architecture</t>
        </is>
      </c>
      <c r="C10" s="68" t="inlineStr">
        <is>
          <t>Jupyter Notebook integration helper</t>
        </is>
      </c>
      <c r="D10" s="71" t="inlineStr">
        <is>
          <t>P1</t>
        </is>
      </c>
      <c r="E10" s="70" t="inlineStr">
        <is>
          <t>✅ Done</t>
        </is>
      </c>
      <c r="F10" s="68" t="inlineStr">
        <is>
          <t>init_oss_analysis() bootstraps all four main objects and displays Markdown header</t>
        </is>
      </c>
      <c r="G10" s="68" t="inlineStr">
        <is>
          <t>oss_scorer.py</t>
        </is>
      </c>
      <c r="H10" s="68" t="n"/>
    </row>
    <row r="11" ht="39.75" customHeight="1" s="49">
      <c r="A11" s="68" t="inlineStr">
        <is>
          <t>OPG-010</t>
        </is>
      </c>
      <c r="B11" s="68" t="inlineStr">
        <is>
          <t>WS02 Configuration Management</t>
        </is>
      </c>
      <c r="C11" s="68" t="inlineStr">
        <is>
          <t>Load config from config.yaml</t>
        </is>
      </c>
      <c r="D11" s="69" t="inlineStr">
        <is>
          <t>P0</t>
        </is>
      </c>
      <c r="E11" s="70" t="inlineStr">
        <is>
          <t>✅ Done</t>
        </is>
      </c>
      <c r="F11" s="68" t="inlineStr">
        <is>
          <t>OSSConfig._load_config() via PyYAML; raises RuntimeError if file is missing</t>
        </is>
      </c>
      <c r="G11" s="68" t="inlineStr">
        <is>
          <t>oss_scorer.py</t>
        </is>
      </c>
      <c r="H11" s="68" t="n"/>
    </row>
    <row r="12" ht="39.75" customHeight="1" s="49">
      <c r="A12" s="68" t="inlineStr">
        <is>
          <t>OPG-011</t>
        </is>
      </c>
      <c r="B12" s="68" t="inlineStr">
        <is>
          <t>WS02 Configuration Management</t>
        </is>
      </c>
      <c r="C12" s="68" t="inlineStr">
        <is>
          <t>Sensible config defaults</t>
        </is>
      </c>
      <c r="D12" s="69" t="inlineStr">
        <is>
          <t>P0</t>
        </is>
      </c>
      <c r="E12" s="70" t="inlineStr">
        <is>
          <t>✅ Done</t>
        </is>
      </c>
      <c r="F12" s="68" t="inlineStr">
        <is>
          <t>All config sections default-filled in _load_config when absent from YAML</t>
        </is>
      </c>
      <c r="G12" s="68" t="inlineStr">
        <is>
          <t>oss_scorer.py</t>
        </is>
      </c>
      <c r="H12" s="68" t="n"/>
    </row>
    <row r="13" ht="39.75" customHeight="1" s="49">
      <c r="A13" s="68" t="inlineStr">
        <is>
          <t>OPG-012</t>
        </is>
      </c>
      <c r="B13" s="68" t="inlineStr">
        <is>
          <t>WS02 Configuration Management</t>
        </is>
      </c>
      <c r="C13" s="68" t="inlineStr">
        <is>
          <t>GitHub token env var override</t>
        </is>
      </c>
      <c r="D13" s="69" t="inlineStr">
        <is>
          <t>P0</t>
        </is>
      </c>
      <c r="E13" s="70" t="inlineStr">
        <is>
          <t>✅ Done</t>
        </is>
      </c>
      <c r="F13" s="68" t="inlineStr">
        <is>
          <t>GITHUB_TOKEN environment variable overrides config.yaml value with higher priority</t>
        </is>
      </c>
      <c r="G13" s="68" t="inlineStr">
        <is>
          <t>oss_scorer.py</t>
        </is>
      </c>
      <c r="H13" s="68" t="n"/>
    </row>
    <row r="14" ht="39.75" customHeight="1" s="49">
      <c r="A14" s="68" t="inlineStr">
        <is>
          <t>OPG-013</t>
        </is>
      </c>
      <c r="B14" s="68" t="inlineStr">
        <is>
          <t>WS02 Configuration Management</t>
        </is>
      </c>
      <c r="C14" s="68" t="inlineStr">
        <is>
          <t>NVD API key env var override</t>
        </is>
      </c>
      <c r="D14" s="69" t="inlineStr">
        <is>
          <t>P0</t>
        </is>
      </c>
      <c r="E14" s="70" t="inlineStr">
        <is>
          <t>✅ Done</t>
        </is>
      </c>
      <c r="F14" s="68" t="inlineStr">
        <is>
          <t>NVD_API_KEY environment variable overrides config.yaml value with higher priority</t>
        </is>
      </c>
      <c r="G14" s="68" t="inlineStr">
        <is>
          <t>oss_scorer.py</t>
        </is>
      </c>
      <c r="H14" s="68" t="n"/>
    </row>
    <row r="15" ht="39.75" customHeight="1" s="49">
      <c r="A15" s="68" t="inlineStr">
        <is>
          <t>OPG-014</t>
        </is>
      </c>
      <c r="B15" s="68" t="inlineStr">
        <is>
          <t>WS02 Configuration Management</t>
        </is>
      </c>
      <c r="C15" s="68" t="inlineStr">
        <is>
          <t>Credential placeholder warning</t>
        </is>
      </c>
      <c r="D15" s="69" t="inlineStr">
        <is>
          <t>P0</t>
        </is>
      </c>
      <c r="E15" s="70" t="inlineStr">
        <is>
          <t>✅ Done</t>
        </is>
      </c>
      <c r="F15" s="68" t="inlineStr">
        <is>
          <t>logger.warning emitted when token/key starts with &lt;&lt; placeholder value</t>
        </is>
      </c>
      <c r="G15" s="68" t="inlineStr">
        <is>
          <t>oss_scorer.py</t>
        </is>
      </c>
      <c r="H15" s="68" t="n"/>
    </row>
    <row r="16" ht="39.75" customHeight="1" s="49">
      <c r="A16" s="68" t="inlineStr">
        <is>
          <t>OPG-015</t>
        </is>
      </c>
      <c r="B16" s="68" t="inlineStr">
        <is>
          <t>WS02 Configuration Management</t>
        </is>
      </c>
      <c r="C16" s="68" t="inlineStr">
        <is>
          <t>Raise RuntimeError on missing config</t>
        </is>
      </c>
      <c r="D16" s="69" t="inlineStr">
        <is>
          <t>P0</t>
        </is>
      </c>
      <c r="E16" s="70" t="inlineStr">
        <is>
          <t>✅ Done</t>
        </is>
      </c>
      <c r="F16" s="68" t="inlineStr">
        <is>
          <t>Prevents silent misconfiguration; clear error message with file path</t>
        </is>
      </c>
      <c r="G16" s="68" t="inlineStr">
        <is>
          <t>oss_scorer.py</t>
        </is>
      </c>
      <c r="H16" s="68" t="n"/>
    </row>
    <row r="17" ht="39.75" customHeight="1" s="49">
      <c r="A17" s="68" t="inlineStr">
        <is>
          <t>OPG-016</t>
        </is>
      </c>
      <c r="B17" s="68" t="inlineStr">
        <is>
          <t>WS02 Configuration Management</t>
        </is>
      </c>
      <c r="C17" s="68" t="inlineStr">
        <is>
          <t>Per-feature enabled flags</t>
        </is>
      </c>
      <c r="D17" s="69" t="inlineStr">
        <is>
          <t>P0</t>
        </is>
      </c>
      <c r="E17" s="70" t="inlineStr">
        <is>
          <t>✅ Done</t>
        </is>
      </c>
      <c r="F17" s="68" t="inlineStr">
        <is>
          <t>OSV, malicious packages, geocoding, EPSS, scorecard each independently disableable via config</t>
        </is>
      </c>
      <c r="G17" s="68" t="inlineStr">
        <is>
          <t>oss_scorer.py</t>
        </is>
      </c>
      <c r="H17" s="68" t="n"/>
    </row>
    <row r="18" ht="39.75" customHeight="1" s="49">
      <c r="A18" s="68" t="inlineStr">
        <is>
          <t>OPG-017</t>
        </is>
      </c>
      <c r="B18" s="68" t="inlineStr">
        <is>
          <t>WS02 Configuration Management</t>
        </is>
      </c>
      <c r="C18" s="68" t="inlineStr">
        <is>
          <t>Per-registry enabled flag</t>
        </is>
      </c>
      <c r="D18" s="69" t="inlineStr">
        <is>
          <t>P0</t>
        </is>
      </c>
      <c r="E18" s="70" t="inlineStr">
        <is>
          <t>✅ Done</t>
        </is>
      </c>
      <c r="F18" s="68" t="inlineStr">
        <is>
          <t>Each registry has enabled flag; Maven disabled by default (no public download API)</t>
        </is>
      </c>
      <c r="G18" s="68" t="inlineStr">
        <is>
          <t>oss_scorer.py</t>
        </is>
      </c>
      <c r="H18" s="68" t="n"/>
    </row>
    <row r="19" ht="39.75" customHeight="1" s="49">
      <c r="A19" s="68" t="inlineStr">
        <is>
          <t>OPG-018</t>
        </is>
      </c>
      <c r="B19" s="68" t="inlineStr">
        <is>
          <t>WS02 Configuration Management</t>
        </is>
      </c>
      <c r="C19" s="68" t="inlineStr">
        <is>
          <t>Configurable scoring weights</t>
        </is>
      </c>
      <c r="D19" s="69" t="inlineStr">
        <is>
          <t>P0</t>
        </is>
      </c>
      <c r="E19" s="70" t="inlineStr">
        <is>
          <t>✅ Done</t>
        </is>
      </c>
      <c r="F19" s="68" t="inlineStr">
        <is>
          <t>scoring.weights: activity=30%, trust=20%, security=35%, community=15% in config.yaml</t>
        </is>
      </c>
      <c r="G19" s="68" t="inlineStr">
        <is>
          <t>oss_scorer.py</t>
        </is>
      </c>
      <c r="H19" s="68" t="n"/>
    </row>
    <row r="20" ht="39.75" customHeight="1" s="49">
      <c r="A20" s="68" t="inlineStr">
        <is>
          <t>OPG-019</t>
        </is>
      </c>
      <c r="B20" s="68" t="inlineStr">
        <is>
          <t>WS02 Configuration Management</t>
        </is>
      </c>
      <c r="C20" s="68" t="inlineStr">
        <is>
          <t>Configurable approval thresholds</t>
        </is>
      </c>
      <c r="D20" s="69" t="inlineStr">
        <is>
          <t>P0</t>
        </is>
      </c>
      <c r="E20" s="70" t="inlineStr">
        <is>
          <t>✅ Done</t>
        </is>
      </c>
      <c r="F20" s="68" t="inlineStr">
        <is>
          <t>scoring.thresholds defaults (90/80/70/60) set in _load_config; no KeyError if section omitted</t>
        </is>
      </c>
      <c r="G20" s="68" t="inlineStr">
        <is>
          <t>oss_scorer.py</t>
        </is>
      </c>
      <c r="H20" s="68" t="inlineStr">
        <is>
          <t>Gap A fix</t>
        </is>
      </c>
    </row>
    <row r="21" ht="39.75" customHeight="1" s="49">
      <c r="A21" s="68" t="inlineStr">
        <is>
          <t>OPG-020</t>
        </is>
      </c>
      <c r="B21" s="68" t="inlineStr">
        <is>
          <t>WS02 Configuration Management</t>
        </is>
      </c>
      <c r="C21" s="68" t="inlineStr">
        <is>
          <t>Configurable EPSS thresholds</t>
        </is>
      </c>
      <c r="D21" s="69" t="inlineStr">
        <is>
          <t>P0</t>
        </is>
      </c>
      <c r="E21" s="70" t="inlineStr">
        <is>
          <t>✅ Done</t>
        </is>
      </c>
      <c r="F21" s="68" t="inlineStr">
        <is>
          <t>_calculate_security_score reads epss.high_threshold/med_threshold from config; falls back to constants</t>
        </is>
      </c>
      <c r="G21" s="68" t="inlineStr">
        <is>
          <t>oss_scorer.py</t>
        </is>
      </c>
      <c r="H21" s="68" t="inlineStr">
        <is>
          <t>Gap B fix</t>
        </is>
      </c>
    </row>
    <row r="22" ht="39.75" customHeight="1" s="49">
      <c r="A22" s="68" t="inlineStr">
        <is>
          <t>OPG-021</t>
        </is>
      </c>
      <c r="B22" s="68" t="inlineStr">
        <is>
          <t>WS02 Configuration Management</t>
        </is>
      </c>
      <c r="C22" s="68" t="inlineStr">
        <is>
          <t>scorecard.enabled flag respected</t>
        </is>
      </c>
      <c r="D22" s="69" t="inlineStr">
        <is>
          <t>P0</t>
        </is>
      </c>
      <c r="E22" s="70" t="inlineStr">
        <is>
          <t>✅ Done</t>
        </is>
      </c>
      <c r="F22" s="68" t="inlineStr">
        <is>
          <t>Guard added at top of get_scorecard() — returns None immediately when flag is false</t>
        </is>
      </c>
      <c r="G22" s="68" t="inlineStr">
        <is>
          <t>oss_scorer.py</t>
        </is>
      </c>
      <c r="H22" s="68" t="inlineStr">
        <is>
          <t>Gap C fix</t>
        </is>
      </c>
    </row>
    <row r="23" ht="39.75" customHeight="1" s="49">
      <c r="A23" s="68" t="inlineStr">
        <is>
          <t>OPG-022</t>
        </is>
      </c>
      <c r="B23" s="68" t="inlineStr">
        <is>
          <t>WS03 Provider Infrastructure</t>
        </is>
      </c>
      <c r="C23" s="68" t="inlineStr">
        <is>
          <t>GitHubProvider implementation</t>
        </is>
      </c>
      <c r="D23" s="69" t="inlineStr">
        <is>
          <t>P0</t>
        </is>
      </c>
      <c r="E23" s="70" t="inlineStr">
        <is>
          <t>✅ Done</t>
        </is>
      </c>
      <c r="F23" s="68" t="inlineStr">
        <is>
          <t>Extends ProviderBase; parses owner/repo from URL; uses Bearer token auth</t>
        </is>
      </c>
      <c r="G23" s="68" t="inlineStr">
        <is>
          <t>oss_scorer.py</t>
        </is>
      </c>
      <c r="H23" s="68" t="n"/>
    </row>
    <row r="24" ht="39.75" customHeight="1" s="49">
      <c r="A24" s="68" t="inlineStr">
        <is>
          <t>OPG-023</t>
        </is>
      </c>
      <c r="B24" s="68" t="inlineStr">
        <is>
          <t>WS03 Provider Infrastructure</t>
        </is>
      </c>
      <c r="C24" s="68" t="inlineStr">
        <is>
          <t>ScorecardProvider implementation</t>
        </is>
      </c>
      <c r="D24" s="69" t="inlineStr">
        <is>
          <t>P0</t>
        </is>
      </c>
      <c r="E24" s="70" t="inlineStr">
        <is>
          <t>✅ Done</t>
        </is>
      </c>
      <c r="F24" s="68" t="inlineStr">
        <is>
          <t>Extends ProviderBase; sets Accept: application/json; queries api.securityscorecards.dev</t>
        </is>
      </c>
      <c r="G24" s="68" t="inlineStr">
        <is>
          <t>oss_scorer.py</t>
        </is>
      </c>
      <c r="H24" s="68" t="n"/>
    </row>
    <row r="25" ht="39.75" customHeight="1" s="49">
      <c r="A25" s="68" t="inlineStr">
        <is>
          <t>OPG-024</t>
        </is>
      </c>
      <c r="B25" s="68" t="inlineStr">
        <is>
          <t>WS03 Provider Infrastructure</t>
        </is>
      </c>
      <c r="C25" s="68" t="inlineStr">
        <is>
          <t>Rate-limiting at provider level</t>
        </is>
      </c>
      <c r="D25" s="69" t="inlineStr">
        <is>
          <t>P0</t>
        </is>
      </c>
      <c r="E25" s="70" t="inlineStr">
        <is>
          <t>✅ Done</t>
        </is>
      </c>
      <c r="F25" s="68" t="inlineStr">
        <is>
          <t>_sleep_rate_limit() in ProviderBase using monotonic clock</t>
        </is>
      </c>
      <c r="G25" s="68" t="inlineStr">
        <is>
          <t>oss_scorer.py</t>
        </is>
      </c>
      <c r="H25" s="68" t="n"/>
    </row>
    <row r="26" ht="39.75" customHeight="1" s="49">
      <c r="A26" s="68" t="inlineStr">
        <is>
          <t>OPG-025</t>
        </is>
      </c>
      <c r="B26" s="68" t="inlineStr">
        <is>
          <t>WS03 Provider Infrastructure</t>
        </is>
      </c>
      <c r="C26" s="68" t="inlineStr">
        <is>
          <t>Response caching with configurable TTL</t>
        </is>
      </c>
      <c r="D26" s="69" t="inlineStr">
        <is>
          <t>P0</t>
        </is>
      </c>
      <c r="E26" s="70" t="inlineStr">
        <is>
          <t>✅ Done</t>
        </is>
      </c>
      <c r="F26" s="68" t="inlineStr">
        <is>
          <t>SimpleCache in ProviderBase; cache key = URL + sorted params</t>
        </is>
      </c>
      <c r="G26" s="68" t="inlineStr">
        <is>
          <t>oss_scorer.py</t>
        </is>
      </c>
      <c r="H26" s="68" t="n"/>
    </row>
    <row r="27" ht="39.75" customHeight="1" s="49">
      <c r="A27" s="68" t="inlineStr">
        <is>
          <t>OPG-026</t>
        </is>
      </c>
      <c r="B27" s="68" t="inlineStr">
        <is>
          <t>WS03 Provider Infrastructure</t>
        </is>
      </c>
      <c r="C27" s="68" t="inlineStr">
        <is>
          <t>Retry with exponential backoff</t>
        </is>
      </c>
      <c r="D27" s="69" t="inlineStr">
        <is>
          <t>P0</t>
        </is>
      </c>
      <c r="E27" s="70" t="inlineStr">
        <is>
          <t>✅ Done</t>
        </is>
      </c>
      <c r="F27" s="68" t="inlineStr">
        <is>
          <t>Up to retries attempts; sleep = backoff_factor x 2^attempt</t>
        </is>
      </c>
      <c r="G27" s="68" t="inlineStr">
        <is>
          <t>oss_scorer.py</t>
        </is>
      </c>
      <c r="H27" s="68" t="n"/>
    </row>
    <row r="28" ht="39.75" customHeight="1" s="49">
      <c r="A28" s="68" t="inlineStr">
        <is>
          <t>OPG-027</t>
        </is>
      </c>
      <c r="B28" s="68" t="inlineStr">
        <is>
          <t>WS03 Provider Infrastructure</t>
        </is>
      </c>
      <c r="C28" s="68" t="inlineStr">
        <is>
          <t>Malformed JSON response handling</t>
        </is>
      </c>
      <c r="D28" s="69" t="inlineStr">
        <is>
          <t>P0</t>
        </is>
      </c>
      <c r="E28" s="70" t="inlineStr">
        <is>
          <t>✅ Done</t>
        </is>
      </c>
      <c r="F28" s="68" t="inlineStr">
        <is>
          <t>ValueError on .json() is caught and wrapped as MALFORMED ProviderStatus</t>
        </is>
      </c>
      <c r="G28" s="68" t="inlineStr">
        <is>
          <t>oss_scorer.py</t>
        </is>
      </c>
      <c r="H28" s="68" t="n"/>
    </row>
    <row r="29" ht="39.75" customHeight="1" s="49">
      <c r="A29" s="68" t="inlineStr">
        <is>
          <t>OPG-028</t>
        </is>
      </c>
      <c r="B29" s="68" t="inlineStr">
        <is>
          <t>WS03 Provider Infrastructure</t>
        </is>
      </c>
      <c r="C29" s="68" t="inlineStr">
        <is>
          <t>HTTP 429 rate-limit distinction</t>
        </is>
      </c>
      <c r="D29" s="69" t="inlineStr">
        <is>
          <t>P0</t>
        </is>
      </c>
      <c r="E29" s="70" t="inlineStr">
        <is>
          <t>✅ Done</t>
        </is>
      </c>
      <c r="F29" s="68" t="inlineStr">
        <is>
          <t>HTTP 429 mapped to ProviderStatus.RATE_LIMIT, not generic error</t>
        </is>
      </c>
      <c r="G29" s="68" t="inlineStr">
        <is>
          <t>oss_scorer.py</t>
        </is>
      </c>
      <c r="H29" s="68" t="n"/>
    </row>
    <row r="30" ht="39.75" customHeight="1" s="49">
      <c r="A30" s="68" t="inlineStr">
        <is>
          <t>OPG-029</t>
        </is>
      </c>
      <c r="B30" s="68" t="inlineStr">
        <is>
          <t>WS04 GitHub Integration</t>
        </is>
      </c>
      <c r="C30" s="68" t="inlineStr">
        <is>
          <t>Fetch repository star count</t>
        </is>
      </c>
      <c r="D30" s="69" t="inlineStr">
        <is>
          <t>P0</t>
        </is>
      </c>
      <c r="E30" s="70" t="inlineStr">
        <is>
          <t>✅ Done</t>
        </is>
      </c>
      <c r="F30" s="68" t="inlineStr">
        <is>
          <t>get_github_metrics() — stargazers_count</t>
        </is>
      </c>
      <c r="G30" s="68" t="inlineStr">
        <is>
          <t>oss_scorer.py</t>
        </is>
      </c>
      <c r="H30" s="68" t="n"/>
    </row>
    <row r="31" ht="39.75" customHeight="1" s="49">
      <c r="A31" s="68" t="inlineStr">
        <is>
          <t>OPG-030</t>
        </is>
      </c>
      <c r="B31" s="68" t="inlineStr">
        <is>
          <t>WS04 GitHub Integration</t>
        </is>
      </c>
      <c r="C31" s="68" t="inlineStr">
        <is>
          <t>Fetch repository fork count</t>
        </is>
      </c>
      <c r="D31" s="69" t="inlineStr">
        <is>
          <t>P0</t>
        </is>
      </c>
      <c r="E31" s="70" t="inlineStr">
        <is>
          <t>✅ Done</t>
        </is>
      </c>
      <c r="F31" s="68" t="inlineStr">
        <is>
          <t>get_github_metrics() — forks_count</t>
        </is>
      </c>
      <c r="G31" s="68" t="inlineStr">
        <is>
          <t>oss_scorer.py</t>
        </is>
      </c>
      <c r="H31" s="68" t="n"/>
    </row>
    <row r="32" ht="39.75" customHeight="1" s="49">
      <c r="A32" s="68" t="inlineStr">
        <is>
          <t>OPG-031</t>
        </is>
      </c>
      <c r="B32" s="68" t="inlineStr">
        <is>
          <t>WS04 GitHub Integration</t>
        </is>
      </c>
      <c r="C32" s="68" t="inlineStr">
        <is>
          <t>Fetch last commit timestamp</t>
        </is>
      </c>
      <c r="D32" s="69" t="inlineStr">
        <is>
          <t>P0</t>
        </is>
      </c>
      <c r="E32" s="70" t="inlineStr">
        <is>
          <t>✅ Done</t>
        </is>
      </c>
      <c r="F32" s="68" t="inlineStr">
        <is>
          <t>get_github_metrics() — pushed_at; used for activity score calculation</t>
        </is>
      </c>
      <c r="G32" s="68" t="inlineStr">
        <is>
          <t>oss_scorer.py</t>
        </is>
      </c>
      <c r="H32" s="68" t="n"/>
    </row>
    <row r="33" ht="39.75" customHeight="1" s="49">
      <c r="A33" s="68" t="inlineStr">
        <is>
          <t>OPG-032</t>
        </is>
      </c>
      <c r="B33" s="68" t="inlineStr">
        <is>
          <t>WS04 GitHub Integration</t>
        </is>
      </c>
      <c r="C33" s="68" t="inlineStr">
        <is>
          <t>Fetch open issue count</t>
        </is>
      </c>
      <c r="D33" s="69" t="inlineStr">
        <is>
          <t>P0</t>
        </is>
      </c>
      <c r="E33" s="70" t="inlineStr">
        <is>
          <t>✅ Done</t>
        </is>
      </c>
      <c r="F33" s="68" t="inlineStr">
        <is>
          <t>get_github_metrics() — open_issues_count</t>
        </is>
      </c>
      <c r="G33" s="68" t="inlineStr">
        <is>
          <t>oss_scorer.py</t>
        </is>
      </c>
      <c r="H33" s="68" t="n"/>
    </row>
    <row r="34" ht="39.75" customHeight="1" s="49">
      <c r="A34" s="68" t="inlineStr">
        <is>
          <t>OPG-033</t>
        </is>
      </c>
      <c r="B34" s="68" t="inlineStr">
        <is>
          <t>WS04 GitHub Integration</t>
        </is>
      </c>
      <c r="C34" s="68" t="inlineStr">
        <is>
          <t>Fetch contributors URL</t>
        </is>
      </c>
      <c r="D34" s="69" t="inlineStr">
        <is>
          <t>P0</t>
        </is>
      </c>
      <c r="E34" s="70" t="inlineStr">
        <is>
          <t>✅ Done</t>
        </is>
      </c>
      <c r="F34" s="68" t="inlineStr">
        <is>
          <t>get_github_metrics() — contributors_url for geolocation pipeline</t>
        </is>
      </c>
      <c r="G34" s="68" t="inlineStr">
        <is>
          <t>oss_scorer.py</t>
        </is>
      </c>
      <c r="H34" s="68" t="n"/>
    </row>
    <row r="35" ht="39.75" customHeight="1" s="49">
      <c r="A35" s="68" t="inlineStr">
        <is>
          <t>OPG-034</t>
        </is>
      </c>
      <c r="B35" s="68" t="inlineStr">
        <is>
          <t>WS04 GitHub Integration</t>
        </is>
      </c>
      <c r="C35" s="68" t="inlineStr">
        <is>
          <t>Validate GitHub URL before API call</t>
        </is>
      </c>
      <c r="D35" s="69" t="inlineStr">
        <is>
          <t>P0</t>
        </is>
      </c>
      <c r="E35" s="70" t="inlineStr">
        <is>
          <t>✅ Done</t>
        </is>
      </c>
      <c r="F35" s="68" t="inlineStr">
        <is>
          <t>_parse_github_owner_repo() raises ValueError on non-GitHub or malformed URLs</t>
        </is>
      </c>
      <c r="G35" s="68" t="inlineStr">
        <is>
          <t>oss_scorer.py</t>
        </is>
      </c>
      <c r="H35" s="68" t="n"/>
    </row>
    <row r="36" ht="39.75" customHeight="1" s="49">
      <c r="A36" s="68" t="inlineStr">
        <is>
          <t>OPG-035</t>
        </is>
      </c>
      <c r="B36" s="68" t="inlineStr">
        <is>
          <t>WS04 GitHub Integration</t>
        </is>
      </c>
      <c r="C36" s="68" t="inlineStr">
        <is>
          <t>Graceful network failure handling</t>
        </is>
      </c>
      <c r="D36" s="69" t="inlineStr">
        <is>
          <t>P0</t>
        </is>
      </c>
      <c r="E36" s="70" t="inlineStr">
        <is>
          <t>✅ Done</t>
        </is>
      </c>
      <c r="F36" s="68" t="inlineStr">
        <is>
          <t>requests.RequestException caught; logs error; returns None</t>
        </is>
      </c>
      <c r="G36" s="68" t="inlineStr">
        <is>
          <t>oss_scorer.py</t>
        </is>
      </c>
      <c r="H36" s="68" t="n"/>
    </row>
    <row r="37" ht="39.75" customHeight="1" s="49">
      <c r="A37" s="68" t="inlineStr">
        <is>
          <t>OPG-036</t>
        </is>
      </c>
      <c r="B37" s="68" t="inlineStr">
        <is>
          <t>WS04 GitHub Integration</t>
        </is>
      </c>
      <c r="C37" s="68" t="inlineStr">
        <is>
          <t>Fetch top-N contributors with profile data</t>
        </is>
      </c>
      <c r="D37" s="71" t="inlineStr">
        <is>
          <t>P1</t>
        </is>
      </c>
      <c r="E37" s="70" t="inlineStr">
        <is>
          <t>✅ Done</t>
        </is>
      </c>
      <c r="F37" s="68" t="inlineStr">
        <is>
          <t>get_contributor_locations() — queries /users/{login} for location + company</t>
        </is>
      </c>
      <c r="G37" s="68" t="inlineStr">
        <is>
          <t>oss_scorer.py</t>
        </is>
      </c>
      <c r="H37" s="68" t="n"/>
    </row>
    <row r="38" ht="39.75" customHeight="1" s="49">
      <c r="A38" s="68" t="inlineStr">
        <is>
          <t>OPG-037</t>
        </is>
      </c>
      <c r="B38" s="68" t="inlineStr">
        <is>
          <t>WS04 GitHub Integration</t>
        </is>
      </c>
      <c r="C38" s="68" t="inlineStr">
        <is>
          <t>Configurable contributor fetch limit</t>
        </is>
      </c>
      <c r="D38" s="71" t="inlineStr">
        <is>
          <t>P1</t>
        </is>
      </c>
      <c r="E38" s="70" t="inlineStr">
        <is>
          <t>✅ Done</t>
        </is>
      </c>
      <c r="F38" s="68" t="inlineStr">
        <is>
          <t>geocoding.max_contributors in config.yaml (default 10)</t>
        </is>
      </c>
      <c r="G38" s="68" t="inlineStr">
        <is>
          <t>oss_scorer.py</t>
        </is>
      </c>
      <c r="H38" s="68" t="n"/>
    </row>
    <row r="39" ht="39.75" customHeight="1" s="49">
      <c r="A39" s="68" t="inlineStr">
        <is>
          <t>OPG-038</t>
        </is>
      </c>
      <c r="B39" s="68" t="inlineStr">
        <is>
          <t>WS04 GitHub Integration</t>
        </is>
      </c>
      <c r="C39" s="68" t="inlineStr">
        <is>
          <t>Authenticated requests via GitHub token</t>
        </is>
      </c>
      <c r="D39" s="69" t="inlineStr">
        <is>
          <t>P0</t>
        </is>
      </c>
      <c r="E39" s="70" t="inlineStr">
        <is>
          <t>✅ Done</t>
        </is>
      </c>
      <c r="F39" s="68" t="inlineStr">
        <is>
          <t>Authorization: token {token} header when token is configured</t>
        </is>
      </c>
      <c r="G39" s="68" t="inlineStr">
        <is>
          <t>oss_scorer.py</t>
        </is>
      </c>
      <c r="H39" s="68" t="n"/>
    </row>
    <row r="40" ht="39.75" customHeight="1" s="49">
      <c r="A40" s="68" t="inlineStr">
        <is>
          <t>OPG-039</t>
        </is>
      </c>
      <c r="B40" s="68" t="inlineStr">
        <is>
          <t>WS04 GitHub Integration</t>
        </is>
      </c>
      <c r="C40" s="68" t="inlineStr">
        <is>
          <t>GitLab / Bitbucket support</t>
        </is>
      </c>
      <c r="D40" s="72" t="inlineStr">
        <is>
          <t>P2</t>
        </is>
      </c>
      <c r="E40" s="73" t="inlineStr">
        <is>
          <t>❌ Not Started</t>
        </is>
      </c>
      <c r="F40" s="68" t="inlineStr">
        <is>
          <t>GitHub only currently; future roadmap for GitLab and Bitbucket APIs</t>
        </is>
      </c>
      <c r="G40" s="68" t="n"/>
      <c r="H40" s="68" t="n"/>
    </row>
    <row r="41" ht="39.75" customHeight="1" s="49">
      <c r="A41" s="68" t="inlineStr">
        <is>
          <t>OPG-040</t>
        </is>
      </c>
      <c r="B41" s="68" t="inlineStr">
        <is>
          <t>WS05 CVE Intelligence</t>
        </is>
      </c>
      <c r="C41" s="68" t="inlineStr">
        <is>
          <t>NVD API v2 integration</t>
        </is>
      </c>
      <c r="D41" s="69" t="inlineStr">
        <is>
          <t>P0</t>
        </is>
      </c>
      <c r="E41" s="70" t="inlineStr">
        <is>
          <t>✅ Done</t>
        </is>
      </c>
      <c r="F41" s="68" t="inlineStr">
        <is>
          <t>Query NVD v2 /rest/json/cves/2.0 — replaces deprecated NVD v1 API</t>
        </is>
      </c>
      <c r="G41" s="68" t="inlineStr">
        <is>
          <t>oss_scorer.py</t>
        </is>
      </c>
      <c r="H41" s="68" t="n"/>
    </row>
    <row r="42" ht="39.75" customHeight="1" s="49">
      <c r="A42" s="68" t="inlineStr">
        <is>
          <t>OPG-041</t>
        </is>
      </c>
      <c r="B42" s="68" t="inlineStr">
        <is>
          <t>WS05 CVE Intelligence</t>
        </is>
      </c>
      <c r="C42" s="68" t="inlineStr">
        <is>
          <t>3-year look-back window</t>
        </is>
      </c>
      <c r="D42" s="69" t="inlineStr">
        <is>
          <t>P0</t>
        </is>
      </c>
      <c r="E42" s="70" t="inlineStr">
        <is>
          <t>✅ Done</t>
        </is>
      </c>
      <c r="F42" s="68" t="inlineStr">
        <is>
          <t>_CVE_LOOKBACK_DAYS = 3x365; applied via pubStartDate parameter</t>
        </is>
      </c>
      <c r="G42" s="68" t="inlineStr">
        <is>
          <t>oss_scorer.py</t>
        </is>
      </c>
      <c r="H42" s="68" t="n"/>
    </row>
    <row r="43" ht="39.75" customHeight="1" s="49">
      <c r="A43" s="68" t="inlineStr">
        <is>
          <t>OPG-042</t>
        </is>
      </c>
      <c r="B43" s="68" t="inlineStr">
        <is>
          <t>WS05 CVE Intelligence</t>
        </is>
      </c>
      <c r="C43" s="68" t="inlineStr">
        <is>
          <t>Paginated CVE results</t>
        </is>
      </c>
      <c r="D43" s="69" t="inlineStr">
        <is>
          <t>P0</t>
        </is>
      </c>
      <c r="E43" s="70" t="inlineStr">
        <is>
          <t>✅ Done</t>
        </is>
      </c>
      <c r="F43" s="68" t="inlineStr">
        <is>
          <t>Up to 50 CVEs per query via resultsPerPage; configurable constant</t>
        </is>
      </c>
      <c r="G43" s="68" t="inlineStr">
        <is>
          <t>oss_scorer.py</t>
        </is>
      </c>
      <c r="H43" s="68" t="n"/>
    </row>
    <row r="44" ht="39.75" customHeight="1" s="49">
      <c r="A44" s="68" t="inlineStr">
        <is>
          <t>OPG-043</t>
        </is>
      </c>
      <c r="B44" s="68" t="inlineStr">
        <is>
          <t>WS05 CVE Intelligence</t>
        </is>
      </c>
      <c r="C44" s="68" t="inlineStr">
        <is>
          <t>CVSSv3.1 severity parsing</t>
        </is>
      </c>
      <c r="D44" s="69" t="inlineStr">
        <is>
          <t>P0</t>
        </is>
      </c>
      <c r="E44" s="70" t="inlineStr">
        <is>
          <t>✅ Done</t>
        </is>
      </c>
      <c r="F44" s="68" t="inlineStr">
        <is>
          <t>cvssMetricV31 checked first; falls back to v3.0 then v2</t>
        </is>
      </c>
      <c r="G44" s="68" t="inlineStr">
        <is>
          <t>oss_scorer.py</t>
        </is>
      </c>
      <c r="H44" s="68" t="n"/>
    </row>
    <row r="45" ht="39.75" customHeight="1" s="49">
      <c r="A45" s="68" t="inlineStr">
        <is>
          <t>OPG-044</t>
        </is>
      </c>
      <c r="B45" s="68" t="inlineStr">
        <is>
          <t>WS05 CVE Intelligence</t>
        </is>
      </c>
      <c r="C45" s="68" t="inlineStr">
        <is>
          <t>CVSSv3.0 fallback</t>
        </is>
      </c>
      <c r="D45" s="69" t="inlineStr">
        <is>
          <t>P0</t>
        </is>
      </c>
      <c r="E45" s="70" t="inlineStr">
        <is>
          <t>✅ Done</t>
        </is>
      </c>
      <c r="F45" s="68" t="inlineStr">
        <is>
          <t>Priority chain: v3.1 -&gt; v3.0 -&gt; v2 for maximum CVSS coverage</t>
        </is>
      </c>
      <c r="G45" s="68" t="inlineStr">
        <is>
          <t>oss_scorer.py</t>
        </is>
      </c>
      <c r="H45" s="68" t="n"/>
    </row>
    <row r="46" ht="39.75" customHeight="1" s="49">
      <c r="A46" s="68" t="inlineStr">
        <is>
          <t>OPG-045</t>
        </is>
      </c>
      <c r="B46" s="68" t="inlineStr">
        <is>
          <t>WS05 CVE Intelligence</t>
        </is>
      </c>
      <c r="C46" s="68" t="inlineStr">
        <is>
          <t>CVSSv2 fallback</t>
        </is>
      </c>
      <c r="D46" s="69" t="inlineStr">
        <is>
          <t>P0</t>
        </is>
      </c>
      <c r="E46" s="70" t="inlineStr">
        <is>
          <t>✅ Done</t>
        </is>
      </c>
      <c r="F46" s="68" t="inlineStr">
        <is>
          <t>Captures baseSeverity from v2 bucket when v3.x unavailable</t>
        </is>
      </c>
      <c r="G46" s="68" t="inlineStr">
        <is>
          <t>oss_scorer.py</t>
        </is>
      </c>
      <c r="H46" s="68" t="n"/>
    </row>
    <row r="47" ht="39.75" customHeight="1" s="49">
      <c r="A47" s="68" t="inlineStr">
        <is>
          <t>OPG-046</t>
        </is>
      </c>
      <c r="B47" s="68" t="inlineStr">
        <is>
          <t>WS05 CVE Intelligence</t>
        </is>
      </c>
      <c r="C47" s="68" t="inlineStr">
        <is>
          <t>CVE count by severity band</t>
        </is>
      </c>
      <c r="D47" s="69" t="inlineStr">
        <is>
          <t>P0</t>
        </is>
      </c>
      <c r="E47" s="70" t="inlineStr">
        <is>
          <t>✅ Done</t>
        </is>
      </c>
      <c r="F47" s="68" t="inlineStr">
        <is>
          <t>Count CRITICAL/HIGH/MEDIUM/LOW CVEs returned in check_cves() result dict</t>
        </is>
      </c>
      <c r="G47" s="68" t="inlineStr">
        <is>
          <t>oss_scorer.py</t>
        </is>
      </c>
      <c r="H47" s="68" t="n"/>
    </row>
    <row r="48" ht="39.75" customHeight="1" s="49">
      <c r="A48" s="68" t="inlineStr">
        <is>
          <t>OPG-047</t>
        </is>
      </c>
      <c r="B48" s="68" t="inlineStr">
        <is>
          <t>WS05 CVE Intelligence</t>
        </is>
      </c>
      <c r="C48" s="68" t="inlineStr">
        <is>
          <t>Safe empty structure on API failure</t>
        </is>
      </c>
      <c r="D48" s="69" t="inlineStr">
        <is>
          <t>P0</t>
        </is>
      </c>
      <c r="E48" s="70" t="inlineStr">
        <is>
          <t>✅ Done</t>
        </is>
      </c>
      <c r="F48" s="68" t="inlineStr">
        <is>
          <t>All zero counts; last_updated timestamp preserved on failure</t>
        </is>
      </c>
      <c r="G48" s="68" t="inlineStr">
        <is>
          <t>oss_scorer.py</t>
        </is>
      </c>
      <c r="H48" s="68" t="n"/>
    </row>
    <row r="49" ht="39.75" customHeight="1" s="49">
      <c r="A49" s="68" t="inlineStr">
        <is>
          <t>OPG-048</t>
        </is>
      </c>
      <c r="B49" s="68" t="inlineStr">
        <is>
          <t>WS05 CVE Intelligence</t>
        </is>
      </c>
      <c r="C49" s="68" t="inlineStr">
        <is>
          <t>Authenticated NVD requests</t>
        </is>
      </c>
      <c r="D49" s="69" t="inlineStr">
        <is>
          <t>P0</t>
        </is>
      </c>
      <c r="E49" s="70" t="inlineStr">
        <is>
          <t>✅ Done</t>
        </is>
      </c>
      <c r="F49" s="68" t="inlineStr">
        <is>
          <t>apiKey header when NVD API key is configured</t>
        </is>
      </c>
      <c r="G49" s="68" t="inlineStr">
        <is>
          <t>oss_scorer.py</t>
        </is>
      </c>
      <c r="H49" s="68" t="n"/>
    </row>
    <row r="50" ht="39.75" customHeight="1" s="49">
      <c r="A50" s="68" t="inlineStr">
        <is>
          <t>OPG-049</t>
        </is>
      </c>
      <c r="B50" s="68" t="inlineStr">
        <is>
          <t>WS05 CVE Intelligence</t>
        </is>
      </c>
      <c r="C50" s="68" t="inlineStr">
        <is>
          <t>EPSS exploit-probability fetch</t>
        </is>
      </c>
      <c r="D50" s="69" t="inlineStr">
        <is>
          <t>P0</t>
        </is>
      </c>
      <c r="E50" s="70" t="inlineStr">
        <is>
          <t>✅ Done</t>
        </is>
      </c>
      <c r="F50" s="68" t="inlineStr">
        <is>
          <t>get_epss_scores() via api.first.org; no API key required</t>
        </is>
      </c>
      <c r="G50" s="68" t="inlineStr">
        <is>
          <t>oss_scorer.py</t>
        </is>
      </c>
      <c r="H50" s="68" t="n"/>
    </row>
    <row r="51" ht="39.75" customHeight="1" s="49">
      <c r="A51" s="68" t="inlineStr">
        <is>
          <t>OPG-050</t>
        </is>
      </c>
      <c r="B51" s="68" t="inlineStr">
        <is>
          <t>WS05 CVE Intelligence</t>
        </is>
      </c>
      <c r="C51" s="68" t="inlineStr">
        <is>
          <t>Batch EPSS requests (30 CVE IDs)</t>
        </is>
      </c>
      <c r="D51" s="69" t="inlineStr">
        <is>
          <t>P0</t>
        </is>
      </c>
      <c r="E51" s="70" t="inlineStr">
        <is>
          <t>✅ Done</t>
        </is>
      </c>
      <c r="F51" s="68" t="inlineStr">
        <is>
          <t>Handles pagination within a single CVE result set</t>
        </is>
      </c>
      <c r="G51" s="68" t="inlineStr">
        <is>
          <t>oss_scorer.py</t>
        </is>
      </c>
      <c r="H51" s="68" t="n"/>
    </row>
    <row r="52" ht="39.75" customHeight="1" s="49">
      <c r="A52" s="68" t="inlineStr">
        <is>
          <t>OPG-051</t>
        </is>
      </c>
      <c r="B52" s="68" t="inlineStr">
        <is>
          <t>WS05 CVE Intelligence</t>
        </is>
      </c>
      <c r="C52" s="68" t="inlineStr">
        <is>
          <t>EPSS per-CVE enrichment</t>
        </is>
      </c>
      <c r="D52" s="69" t="inlineStr">
        <is>
          <t>P0</t>
        </is>
      </c>
      <c r="E52" s="70" t="inlineStr">
        <is>
          <t>✅ Done</t>
        </is>
      </c>
      <c r="F52" s="68" t="inlineStr">
        <is>
          <t>Attach epss and epss_percentile to each CVE object in check_cves()</t>
        </is>
      </c>
      <c r="G52" s="68" t="inlineStr">
        <is>
          <t>oss_scorer.py</t>
        </is>
      </c>
      <c r="H52" s="68" t="n"/>
    </row>
    <row r="53" ht="39.75" customHeight="1" s="49">
      <c r="A53" s="68" t="inlineStr">
        <is>
          <t>OPG-052</t>
        </is>
      </c>
      <c r="B53" s="68" t="inlineStr">
        <is>
          <t>WS05 CVE Intelligence</t>
        </is>
      </c>
      <c r="C53" s="68" t="inlineStr">
        <is>
          <t>EPSS high-count tracking</t>
        </is>
      </c>
      <c r="D53" s="69" t="inlineStr">
        <is>
          <t>P0</t>
        </is>
      </c>
      <c r="E53" s="70" t="inlineStr">
        <is>
          <t>✅ Done</t>
        </is>
      </c>
      <c r="F53" s="68" t="inlineStr">
        <is>
          <t>Count CVEs with EPSS &gt;= 0.5 (epss_high) — actively-weaponised indicator</t>
        </is>
      </c>
      <c r="G53" s="68" t="inlineStr">
        <is>
          <t>oss_scorer.py</t>
        </is>
      </c>
      <c r="H53" s="68" t="n"/>
    </row>
    <row r="54" ht="39.75" customHeight="1" s="49">
      <c r="A54" s="68" t="inlineStr">
        <is>
          <t>OPG-053</t>
        </is>
      </c>
      <c r="B54" s="68" t="inlineStr">
        <is>
          <t>WS05 CVE Intelligence</t>
        </is>
      </c>
      <c r="C54" s="68" t="inlineStr">
        <is>
          <t>Maximum EPSS tracking</t>
        </is>
      </c>
      <c r="D54" s="69" t="inlineStr">
        <is>
          <t>P0</t>
        </is>
      </c>
      <c r="E54" s="70" t="inlineStr">
        <is>
          <t>✅ Done</t>
        </is>
      </c>
      <c r="F54" s="68" t="inlineStr">
        <is>
          <t>Track max_epss value across all CVEs for dashboard display</t>
        </is>
      </c>
      <c r="G54" s="68" t="inlineStr">
        <is>
          <t>oss_scorer.py</t>
        </is>
      </c>
      <c r="H54" s="68" t="n"/>
    </row>
    <row r="55" ht="39.75" customHeight="1" s="49">
      <c r="A55" s="68" t="inlineStr">
        <is>
          <t>OPG-054</t>
        </is>
      </c>
      <c r="B55" s="68" t="inlineStr">
        <is>
          <t>WS05 CVE Intelligence</t>
        </is>
      </c>
      <c r="C55" s="68" t="inlineStr">
        <is>
          <t>Graceful batch-level EPSS failure</t>
        </is>
      </c>
      <c r="D55" s="69" t="inlineStr">
        <is>
          <t>P0</t>
        </is>
      </c>
      <c r="E55" s="70" t="inlineStr">
        <is>
          <t>✅ Done</t>
        </is>
      </c>
      <c r="F55" s="68" t="inlineStr">
        <is>
          <t>Per-batch try/except; partial EPSS results returned on failure</t>
        </is>
      </c>
      <c r="G55" s="68" t="inlineStr">
        <is>
          <t>oss_scorer.py</t>
        </is>
      </c>
      <c r="H55" s="68" t="n"/>
    </row>
    <row r="56" ht="39.75" customHeight="1" s="49">
      <c r="A56" s="68" t="inlineStr">
        <is>
          <t>OPG-055</t>
        </is>
      </c>
      <c r="B56" s="68" t="inlineStr">
        <is>
          <t>WS05 CVE Intelligence</t>
        </is>
      </c>
      <c r="C56" s="68" t="inlineStr">
        <is>
          <t>NVD rate-limit enforcement</t>
        </is>
      </c>
      <c r="D56" s="69" t="inlineStr">
        <is>
          <t>P0</t>
        </is>
      </c>
      <c r="E56" s="70" t="inlineStr">
        <is>
          <t>✅ Done</t>
        </is>
      </c>
      <c r="F56" s="68" t="inlineStr">
        <is>
          <t>_rate_limited_get() using nvd.rate_limit config value</t>
        </is>
      </c>
      <c r="G56" s="68" t="inlineStr">
        <is>
          <t>oss_scorer.py</t>
        </is>
      </c>
      <c r="H56" s="68" t="n"/>
    </row>
    <row r="57" ht="39.75" customHeight="1" s="49">
      <c r="A57" s="68" t="inlineStr">
        <is>
          <t>OPG-056</t>
        </is>
      </c>
      <c r="B57" s="68" t="inlineStr">
        <is>
          <t>WS06 OSV &amp; Malicious Detection</t>
        </is>
      </c>
      <c r="C57" s="68" t="inlineStr">
        <is>
          <t>OSV.dev API integration</t>
        </is>
      </c>
      <c r="D57" s="69" t="inlineStr">
        <is>
          <t>P0</t>
        </is>
      </c>
      <c r="E57" s="70" t="inlineStr">
        <is>
          <t>✅ Done</t>
        </is>
      </c>
      <c r="F57" s="68" t="inlineStr">
        <is>
          <t>check_osv() queries api.osv.dev/v1/query by package + ecosystem via HTTP POST</t>
        </is>
      </c>
      <c r="G57" s="68" t="inlineStr">
        <is>
          <t>src/osspolicyguard/advisory_dedup.py</t>
        </is>
      </c>
      <c r="H57" s="68" t="n"/>
    </row>
    <row r="58" ht="39.75" customHeight="1" s="49">
      <c r="A58" s="68" t="inlineStr">
        <is>
          <t>OPG-057</t>
        </is>
      </c>
      <c r="B58" s="68" t="inlineStr">
        <is>
          <t>WS06 OSV &amp; Malicious Detection</t>
        </is>
      </c>
      <c r="C58" s="68" t="inlineStr">
        <is>
          <t>Malicious package detection via MAL- IDs</t>
        </is>
      </c>
      <c r="D58" s="69" t="inlineStr">
        <is>
          <t>P0</t>
        </is>
      </c>
      <c r="E58" s="70" t="inlineStr">
        <is>
          <t>✅ Done</t>
        </is>
      </c>
      <c r="F58" s="68" t="inlineStr">
        <is>
          <t>is_malicious flag set when any MAL- advisory found (ossf/malicious-packages source)</t>
        </is>
      </c>
      <c r="G58" s="68" t="inlineStr">
        <is>
          <t>src/osspolicyguard/advisory_dedup.py</t>
        </is>
      </c>
      <c r="H58" s="68" t="n"/>
    </row>
    <row r="59" ht="39.75" customHeight="1" s="49">
      <c r="A59" s="68" t="inlineStr">
        <is>
          <t>OPG-058</t>
        </is>
      </c>
      <c r="B59" s="68" t="inlineStr">
        <is>
          <t>WS06 OSV &amp; Malicious Detection</t>
        </is>
      </c>
      <c r="C59" s="68" t="inlineStr">
        <is>
          <t>Extra GHSA advisory count</t>
        </is>
      </c>
      <c r="D59" s="69" t="inlineStr">
        <is>
          <t>P0</t>
        </is>
      </c>
      <c r="E59" s="70" t="inlineStr">
        <is>
          <t>✅ Done</t>
        </is>
      </c>
      <c r="F59" s="68" t="inlineStr">
        <is>
          <t>Count GHSA/ecosystem advisories without CVE aliases as extra_advisories</t>
        </is>
      </c>
      <c r="G59" s="68" t="inlineStr">
        <is>
          <t>oss_scorer.py</t>
        </is>
      </c>
      <c r="H59" s="68" t="n"/>
    </row>
    <row r="60" ht="39.75" customHeight="1" s="49">
      <c r="A60" s="68" t="inlineStr">
        <is>
          <t>OPG-059</t>
        </is>
      </c>
      <c r="B60" s="68" t="inlineStr">
        <is>
          <t>WS06 OSV &amp; Malicious Detection</t>
        </is>
      </c>
      <c r="C60" s="68" t="inlineStr">
        <is>
          <t>Skip CVE-aliased advisories in dedup</t>
        </is>
      </c>
      <c r="D60" s="69" t="inlineStr">
        <is>
          <t>P0</t>
        </is>
      </c>
      <c r="E60" s="70" t="inlineStr">
        <is>
          <t>✅ Done</t>
        </is>
      </c>
      <c r="F60" s="68" t="inlineStr">
        <is>
          <t>Avoids double-penalising CVEs already in NVD pipeline</t>
        </is>
      </c>
      <c r="G60" s="68" t="inlineStr">
        <is>
          <t>src/osspolicyguard/advisory_dedup.py</t>
        </is>
      </c>
      <c r="H60" s="68" t="n"/>
    </row>
    <row r="61" ht="39.75" customHeight="1" s="49">
      <c r="A61" s="68" t="inlineStr">
        <is>
          <t>OPG-060</t>
        </is>
      </c>
      <c r="B61" s="68" t="inlineStr">
        <is>
          <t>WS06 OSV &amp; Malicious Detection</t>
        </is>
      </c>
      <c r="C61" s="68" t="inlineStr">
        <is>
          <t>OSV ecosystem identifier mapping</t>
        </is>
      </c>
      <c r="D61" s="69" t="inlineStr">
        <is>
          <t>P0</t>
        </is>
      </c>
      <c r="E61" s="70" t="inlineStr">
        <is>
          <t>✅ Done</t>
        </is>
      </c>
      <c r="F61" s="68" t="inlineStr">
        <is>
          <t>_resolve_osv_ecosystem() maps npm/pypi/rubygems/crates/nuget/packagist/maven</t>
        </is>
      </c>
      <c r="G61" s="68" t="inlineStr">
        <is>
          <t>oss_scorer.py</t>
        </is>
      </c>
      <c r="H61" s="68" t="n"/>
    </row>
    <row r="62" ht="39.75" customHeight="1" s="49">
      <c r="A62" s="68" t="inlineStr">
        <is>
          <t>OPG-061</t>
        </is>
      </c>
      <c r="B62" s="68" t="inlineStr">
        <is>
          <t>WS06 OSV &amp; Malicious Detection</t>
        </is>
      </c>
      <c r="C62" s="68" t="inlineStr">
        <is>
          <t>OSV works when Maven downloads disabled</t>
        </is>
      </c>
      <c r="D62" s="69" t="inlineStr">
        <is>
          <t>P0</t>
        </is>
      </c>
      <c r="E62" s="70" t="inlineStr">
        <is>
          <t>✅ Done</t>
        </is>
      </c>
      <c r="F62" s="68" t="inlineStr">
        <is>
          <t>_resolve_osv_ecosystem intentionally ignores registry enabled flag</t>
        </is>
      </c>
      <c r="G62" s="68" t="inlineStr">
        <is>
          <t>oss_scorer.py</t>
        </is>
      </c>
      <c r="H62" s="68" t="n"/>
    </row>
    <row r="63" ht="39.75" customHeight="1" s="49">
      <c r="A63" s="68" t="inlineStr">
        <is>
          <t>OPG-062</t>
        </is>
      </c>
      <c r="B63" s="68" t="inlineStr">
        <is>
          <t>WS06 OSV &amp; Malicious Detection</t>
        </is>
      </c>
      <c r="C63" s="68" t="inlineStr">
        <is>
          <t>osv.enabled config flag</t>
        </is>
      </c>
      <c r="D63" s="69" t="inlineStr">
        <is>
          <t>P0</t>
        </is>
      </c>
      <c r="E63" s="70" t="inlineStr">
        <is>
          <t>✅ Done</t>
        </is>
      </c>
      <c r="F63" s="68" t="inlineStr">
        <is>
          <t>Gates all OSV queries; returns empty result without making any HTTP call</t>
        </is>
      </c>
      <c r="G63" s="68" t="inlineStr">
        <is>
          <t>oss_scorer.py</t>
        </is>
      </c>
      <c r="H63" s="68" t="n"/>
    </row>
    <row r="64" ht="39.75" customHeight="1" s="49">
      <c r="A64" s="68" t="inlineStr">
        <is>
          <t>OPG-063</t>
        </is>
      </c>
      <c r="B64" s="68" t="inlineStr">
        <is>
          <t>WS06 OSV &amp; Malicious Detection</t>
        </is>
      </c>
      <c r="C64" s="68" t="inlineStr">
        <is>
          <t>malicious_packages.enabled flag</t>
        </is>
      </c>
      <c r="D64" s="69" t="inlineStr">
        <is>
          <t>P0</t>
        </is>
      </c>
      <c r="E64" s="70" t="inlineStr">
        <is>
          <t>✅ Done</t>
        </is>
      </c>
      <c r="F64" s="68" t="inlineStr">
        <is>
          <t>OSV vulns still checked; only MAL- flagging suppressed independently</t>
        </is>
      </c>
      <c r="G64" s="68" t="inlineStr">
        <is>
          <t>oss_scorer.py</t>
        </is>
      </c>
      <c r="H64" s="68" t="n"/>
    </row>
    <row r="65" ht="39.75" customHeight="1" s="49">
      <c r="A65" s="68" t="inlineStr">
        <is>
          <t>OPG-064</t>
        </is>
      </c>
      <c r="B65" s="68" t="inlineStr">
        <is>
          <t>WS06 OSV &amp; Malicious Detection</t>
        </is>
      </c>
      <c r="C65" s="68" t="inlineStr">
        <is>
          <t>Graceful OSV failure handling</t>
        </is>
      </c>
      <c r="D65" s="69" t="inlineStr">
        <is>
          <t>P0</t>
        </is>
      </c>
      <c r="E65" s="70" t="inlineStr">
        <is>
          <t>✅ Done</t>
        </is>
      </c>
      <c r="F65" s="68" t="inlineStr">
        <is>
          <t>requests.RequestException caught; is_malicious=False returned safely</t>
        </is>
      </c>
      <c r="G65" s="68" t="inlineStr">
        <is>
          <t>oss_scorer.py</t>
        </is>
      </c>
      <c r="H65" s="68" t="n"/>
    </row>
    <row r="66" ht="39.75" customHeight="1" s="49">
      <c r="A66" s="68" t="inlineStr">
        <is>
          <t>OPG-065</t>
        </is>
      </c>
      <c r="B66" s="68" t="inlineStr">
        <is>
          <t>WS07 Package Registry Downloads</t>
        </is>
      </c>
      <c r="C66" s="68" t="inlineStr">
        <is>
          <t>Config-driven registry selection</t>
        </is>
      </c>
      <c r="D66" s="69" t="inlineStr">
        <is>
          <t>P0</t>
        </is>
      </c>
      <c r="E66" s="70" t="inlineStr">
        <is>
          <t>✅ Done</t>
        </is>
      </c>
      <c r="F66" s="68" t="inlineStr">
        <is>
          <t>registries section in config.yaml; each registry has enabled, timeout, languages</t>
        </is>
      </c>
      <c r="G66" s="68" t="inlineStr">
        <is>
          <t>oss_scorer.py</t>
        </is>
      </c>
      <c r="H66" s="68" t="n"/>
    </row>
    <row r="67" ht="39.75" customHeight="1" s="49">
      <c r="A67" s="68" t="inlineStr">
        <is>
          <t>OPG-066</t>
        </is>
      </c>
      <c r="B67" s="68" t="inlineStr">
        <is>
          <t>WS07 Package Registry Downloads</t>
        </is>
      </c>
      <c r="C67" s="68" t="inlineStr">
        <is>
          <t>Language alias resolution</t>
        </is>
      </c>
      <c r="D67" s="69" t="inlineStr">
        <is>
          <t>P0</t>
        </is>
      </c>
      <c r="E67" s="70" t="inlineStr">
        <is>
          <t>✅ Done</t>
        </is>
      </c>
      <c r="F67" s="68" t="inlineStr">
        <is>
          <t>_resolve_registry() scans languages list; python-&gt;pypi, javascript-&gt;npm</t>
        </is>
      </c>
      <c r="G67" s="68" t="inlineStr">
        <is>
          <t>oss_scorer.py</t>
        </is>
      </c>
      <c r="H67" s="68" t="n"/>
    </row>
    <row r="68" ht="39.75" customHeight="1" s="49">
      <c r="A68" s="68" t="inlineStr">
        <is>
          <t>OPG-067</t>
        </is>
      </c>
      <c r="B68" s="68" t="inlineStr">
        <is>
          <t>WS07 Package Registry Downloads</t>
        </is>
      </c>
      <c r="C68" s="68" t="inlineStr">
        <is>
          <t>Case-insensitive ecosystem matching</t>
        </is>
      </c>
      <c r="D68" s="69" t="inlineStr">
        <is>
          <t>P0</t>
        </is>
      </c>
      <c r="E68" s="70" t="inlineStr">
        <is>
          <t>✅ Done</t>
        </is>
      </c>
      <c r="F68" s="68" t="inlineStr">
        <is>
          <t>.lower().strip() normalisation for ecosystem/language matching</t>
        </is>
      </c>
      <c r="G68" s="68" t="inlineStr">
        <is>
          <t>oss_scorer.py</t>
        </is>
      </c>
      <c r="H68" s="68" t="n"/>
    </row>
    <row r="69" ht="39.75" customHeight="1" s="49">
      <c r="A69" s="68" t="inlineStr">
        <is>
          <t>OPG-068</t>
        </is>
      </c>
      <c r="B69" s="68" t="inlineStr">
        <is>
          <t>WS07 Package Registry Downloads</t>
        </is>
      </c>
      <c r="C69" s="68" t="inlineStr">
        <is>
          <t>Respect enabled:false registry flag</t>
        </is>
      </c>
      <c r="D69" s="69" t="inlineStr">
        <is>
          <t>P0</t>
        </is>
      </c>
      <c r="E69" s="70" t="inlineStr">
        <is>
          <t>✅ Done</t>
        </is>
      </c>
      <c r="F69" s="68" t="inlineStr">
        <is>
          <t>Returns None without fetching when registry is disabled in config</t>
        </is>
      </c>
      <c r="G69" s="68" t="inlineStr">
        <is>
          <t>oss_scorer.py</t>
        </is>
      </c>
      <c r="H69" s="68" t="n"/>
    </row>
    <row r="70" ht="39.75" customHeight="1" s="49">
      <c r="A70" s="68" t="inlineStr">
        <is>
          <t>OPG-069</t>
        </is>
      </c>
      <c r="B70" s="68" t="inlineStr">
        <is>
          <t>WS07 Package Registry Downloads</t>
        </is>
      </c>
      <c r="C70" s="68" t="inlineStr">
        <is>
          <t>npm weekly download count</t>
        </is>
      </c>
      <c r="D70" s="69" t="inlineStr">
        <is>
          <t>P0</t>
        </is>
      </c>
      <c r="E70" s="70" t="inlineStr">
        <is>
          <t>✅ Done</t>
        </is>
      </c>
      <c r="F70" s="68" t="inlineStr">
        <is>
          <t>api.npmjs.org/downloads/point/last-week/{package} — true weekly count</t>
        </is>
      </c>
      <c r="G70" s="68" t="inlineStr">
        <is>
          <t>oss_scorer.py</t>
        </is>
      </c>
      <c r="H70" s="68" t="n"/>
    </row>
    <row r="71" ht="39.75" customHeight="1" s="49">
      <c r="A71" s="68" t="inlineStr">
        <is>
          <t>OPG-070</t>
        </is>
      </c>
      <c r="B71" s="68" t="inlineStr">
        <is>
          <t>WS07 Package Registry Downloads</t>
        </is>
      </c>
      <c r="C71" s="68" t="inlineStr">
        <is>
          <t>PyPI weekly download count</t>
        </is>
      </c>
      <c r="D71" s="69" t="inlineStr">
        <is>
          <t>P0</t>
        </is>
      </c>
      <c r="E71" s="70" t="inlineStr">
        <is>
          <t>✅ Done</t>
        </is>
      </c>
      <c r="F71" s="68" t="inlineStr">
        <is>
          <t>pypistats.org/api/packages/{package}/recent — last_week — true weekly count</t>
        </is>
      </c>
      <c r="G71" s="68" t="inlineStr">
        <is>
          <t>oss_scorer.py</t>
        </is>
      </c>
      <c r="H71" s="68" t="n"/>
    </row>
    <row r="72" ht="39.75" customHeight="1" s="49">
      <c r="A72" s="68" t="inlineStr">
        <is>
          <t>OPG-071</t>
        </is>
      </c>
      <c r="B72" s="68" t="inlineStr">
        <is>
          <t>WS07 Package Registry Downloads</t>
        </is>
      </c>
      <c r="C72" s="68" t="inlineStr">
        <is>
          <t>RubyGems weekly estimate</t>
        </is>
      </c>
      <c r="D72" s="71" t="inlineStr">
        <is>
          <t>P1</t>
        </is>
      </c>
      <c r="E72" s="70" t="inlineStr">
        <is>
          <t>✅ Done</t>
        </is>
      </c>
      <c r="F72" s="68" t="inlineStr">
        <is>
          <t>version_downloads / 52 — no public weekly API; noted in config</t>
        </is>
      </c>
      <c r="G72" s="68" t="inlineStr">
        <is>
          <t>oss_scorer.py</t>
        </is>
      </c>
      <c r="H72" s="68" t="n"/>
    </row>
    <row r="73" ht="39.75" customHeight="1" s="49">
      <c r="A73" s="68" t="inlineStr">
        <is>
          <t>OPG-072</t>
        </is>
      </c>
      <c r="B73" s="68" t="inlineStr">
        <is>
          <t>WS07 Package Registry Downloads</t>
        </is>
      </c>
      <c r="C73" s="68" t="inlineStr">
        <is>
          <t>crates.io weekly estimate</t>
        </is>
      </c>
      <c r="D73" s="71" t="inlineStr">
        <is>
          <t>P1</t>
        </is>
      </c>
      <c r="E73" s="70" t="inlineStr">
        <is>
          <t>✅ Done</t>
        </is>
      </c>
      <c r="F73" s="68" t="inlineStr">
        <is>
          <t>recent_downloads / 13 (90-day window) via crates.io/api/v1/crates/{package}</t>
        </is>
      </c>
      <c r="G73" s="68" t="inlineStr">
        <is>
          <t>oss_scorer.py</t>
        </is>
      </c>
      <c r="H73" s="68" t="n"/>
    </row>
    <row r="74" ht="39.75" customHeight="1" s="49">
      <c r="A74" s="68" t="inlineStr">
        <is>
          <t>OPG-073</t>
        </is>
      </c>
      <c r="B74" s="68" t="inlineStr">
        <is>
          <t>WS07 Package Registry Downloads</t>
        </is>
      </c>
      <c r="C74" s="68" t="inlineStr">
        <is>
          <t>NuGet weekly estimate</t>
        </is>
      </c>
      <c r="D74" s="71" t="inlineStr">
        <is>
          <t>P1</t>
        </is>
      </c>
      <c r="E74" s="70" t="inlineStr">
        <is>
          <t>✅ Done</t>
        </is>
      </c>
      <c r="F74" s="68" t="inlineStr">
        <is>
          <t>totalDownloads / 104 (2-year lifetime) via azuresearch-usnc.nuget.org/query</t>
        </is>
      </c>
      <c r="G74" s="68" t="inlineStr">
        <is>
          <t>oss_scorer.py</t>
        </is>
      </c>
      <c r="H74" s="68" t="n"/>
    </row>
    <row r="75" ht="39.75" customHeight="1" s="49">
      <c r="A75" s="68" t="inlineStr">
        <is>
          <t>OPG-074</t>
        </is>
      </c>
      <c r="B75" s="68" t="inlineStr">
        <is>
          <t>WS07 Package Registry Downloads</t>
        </is>
      </c>
      <c r="C75" s="68" t="inlineStr">
        <is>
          <t>Packagist weekly estimate</t>
        </is>
      </c>
      <c r="D75" s="71" t="inlineStr">
        <is>
          <t>P1</t>
        </is>
      </c>
      <c r="E75" s="70" t="inlineStr">
        <is>
          <t>✅ Done</t>
        </is>
      </c>
      <c r="F75" s="68" t="inlineStr">
        <is>
          <t>monthly / 4; requires vendor/package format</t>
        </is>
      </c>
      <c r="G75" s="68" t="inlineStr">
        <is>
          <t>oss_scorer.py</t>
        </is>
      </c>
      <c r="H75" s="68" t="n"/>
    </row>
    <row r="76" ht="39.75" customHeight="1" s="49">
      <c r="A76" s="68" t="inlineStr">
        <is>
          <t>OPG-075</t>
        </is>
      </c>
      <c r="B76" s="68" t="inlineStr">
        <is>
          <t>WS07 Package Registry Downloads</t>
        </is>
      </c>
      <c r="C76" s="68" t="inlineStr">
        <is>
          <t>Packagist missing vendor prefix warning</t>
        </is>
      </c>
      <c r="D76" s="71" t="inlineStr">
        <is>
          <t>P1</t>
        </is>
      </c>
      <c r="E76" s="70" t="inlineStr">
        <is>
          <t>✅ Done</t>
        </is>
      </c>
      <c r="F76" s="68" t="inlineStr">
        <is>
          <t>logger.warning; returns zero without raising exception</t>
        </is>
      </c>
      <c r="G76" s="68" t="inlineStr">
        <is>
          <t>oss_scorer.py</t>
        </is>
      </c>
      <c r="H76" s="68" t="n"/>
    </row>
    <row r="77" ht="39.75" customHeight="1" s="49">
      <c r="A77" s="68" t="inlineStr">
        <is>
          <t>OPG-076</t>
        </is>
      </c>
      <c r="B77" s="68" t="inlineStr">
        <is>
          <t>WS07 Package Registry Downloads</t>
        </is>
      </c>
      <c r="C77" s="68" t="inlineStr">
        <is>
          <t>Maven download count</t>
        </is>
      </c>
      <c r="D77" s="72" t="inlineStr">
        <is>
          <t>P2</t>
        </is>
      </c>
      <c r="E77" s="73" t="inlineStr">
        <is>
          <t>❌ Not Started</t>
        </is>
      </c>
      <c r="F77" s="68" t="inlineStr">
        <is>
          <t>Maven Central has no public download API; registry disabled</t>
        </is>
      </c>
      <c r="G77" s="68" t="n"/>
      <c r="H77" s="68" t="inlineStr">
        <is>
          <t>Pending public API</t>
        </is>
      </c>
    </row>
    <row r="78" ht="39.75" customHeight="1" s="49">
      <c r="A78" s="68" t="inlineStr">
        <is>
          <t>OPG-077</t>
        </is>
      </c>
      <c r="B78" s="68" t="inlineStr">
        <is>
          <t>WS07 Package Registry Downloads</t>
        </is>
      </c>
      <c r="C78" s="68" t="inlineStr">
        <is>
          <t>Normalised download count structure</t>
        </is>
      </c>
      <c r="D78" s="69" t="inlineStr">
        <is>
          <t>P0</t>
        </is>
      </c>
      <c r="E78" s="70" t="inlineStr">
        <is>
          <t>✅ Done</t>
        </is>
      </c>
      <c r="F78" s="68" t="inlineStr">
        <is>
          <t>All fetchers return {weekly_downloads, period, registry} regardless of underlying API period</t>
        </is>
      </c>
      <c r="G78" s="68" t="inlineStr">
        <is>
          <t>oss_scorer.py</t>
        </is>
      </c>
      <c r="H78" s="68" t="n"/>
    </row>
    <row r="79" ht="39.75" customHeight="1" s="49">
      <c r="A79" s="68" t="inlineStr">
        <is>
          <t>OPG-078</t>
        </is>
      </c>
      <c r="B79" s="68" t="inlineStr">
        <is>
          <t>WS07 Package Registry Downloads</t>
        </is>
      </c>
      <c r="C79" s="68" t="inlineStr">
        <is>
          <t>Graceful registry network failure</t>
        </is>
      </c>
      <c r="D79" s="69" t="inlineStr">
        <is>
          <t>P0</t>
        </is>
      </c>
      <c r="E79" s="70" t="inlineStr">
        <is>
          <t>✅ Done</t>
        </is>
      </c>
      <c r="F79" s="68" t="inlineStr">
        <is>
          <t>requests.RequestException caught at dispatcher level; returns None</t>
        </is>
      </c>
      <c r="G79" s="68" t="inlineStr">
        <is>
          <t>oss_scorer.py</t>
        </is>
      </c>
      <c r="H79" s="68" t="n"/>
    </row>
    <row r="80" ht="39.75" customHeight="1" s="49">
      <c r="A80" s="68" t="inlineStr">
        <is>
          <t>OPG-079</t>
        </is>
      </c>
      <c r="B80" s="68" t="inlineStr">
        <is>
          <t>WS08 OpenSSF Scorecard</t>
        </is>
      </c>
      <c r="C80" s="68" t="inlineStr">
        <is>
          <t>Fetch Scorecard security score (0-10)</t>
        </is>
      </c>
      <c r="D80" s="69" t="inlineStr">
        <is>
          <t>P0</t>
        </is>
      </c>
      <c r="E80" s="70" t="inlineStr">
        <is>
          <t>✅ Done</t>
        </is>
      </c>
      <c r="F80" s="68" t="inlineStr">
        <is>
          <t>get_scorecard() via api.securityscorecards.dev — score returned 0-10 scale</t>
        </is>
      </c>
      <c r="G80" s="68" t="inlineStr">
        <is>
          <t>oss_scorer.py</t>
        </is>
      </c>
      <c r="H80" s="68" t="n"/>
    </row>
    <row r="81" ht="39.75" customHeight="1" s="49">
      <c r="A81" s="68" t="inlineStr">
        <is>
          <t>OPG-080</t>
        </is>
      </c>
      <c r="B81" s="68" t="inlineStr">
        <is>
          <t>WS08 OpenSSF Scorecard</t>
        </is>
      </c>
      <c r="C81" s="68" t="inlineStr">
        <is>
          <t>Fetch per-check scores</t>
        </is>
      </c>
      <c r="D81" s="69" t="inlineStr">
        <is>
          <t>P0</t>
        </is>
      </c>
      <c r="E81" s="70" t="inlineStr">
        <is>
          <t>✅ Done</t>
        </is>
      </c>
      <c r="F81" s="68" t="inlineStr">
        <is>
          <t>Returns checks dict of name -&gt; score (Code-Review, Branch-Protection, etc.)</t>
        </is>
      </c>
      <c r="G81" s="68" t="inlineStr">
        <is>
          <t>oss_scorer.py</t>
        </is>
      </c>
      <c r="H81" s="68" t="n"/>
    </row>
    <row r="82" ht="39.75" customHeight="1" s="49">
      <c r="A82" s="68" t="inlineStr">
        <is>
          <t>OPG-081</t>
        </is>
      </c>
      <c r="B82" s="68" t="inlineStr">
        <is>
          <t>WS08 OpenSSF Scorecard</t>
        </is>
      </c>
      <c r="C82" s="68" t="inlineStr">
        <is>
          <t>Graceful HTTP 404 handling</t>
        </is>
      </c>
      <c r="D82" s="69" t="inlineStr">
        <is>
          <t>P0</t>
        </is>
      </c>
      <c r="E82" s="70" t="inlineStr">
        <is>
          <t>✅ Done</t>
        </is>
      </c>
      <c r="F82" s="68" t="inlineStr">
        <is>
          <t>Returns None when repo is not indexed; logged at INFO level</t>
        </is>
      </c>
      <c r="G82" s="68" t="inlineStr">
        <is>
          <t>oss_scorer.py</t>
        </is>
      </c>
      <c r="H82" s="68" t="n"/>
    </row>
    <row r="83" ht="39.75" customHeight="1" s="49">
      <c r="A83" s="68" t="inlineStr">
        <is>
          <t>OPG-082</t>
        </is>
      </c>
      <c r="B83" s="68" t="inlineStr">
        <is>
          <t>WS08 OpenSSF Scorecard</t>
        </is>
      </c>
      <c r="C83" s="68" t="inlineStr">
        <is>
          <t>Graceful network failure handling</t>
        </is>
      </c>
      <c r="D83" s="69" t="inlineStr">
        <is>
          <t>P0</t>
        </is>
      </c>
      <c r="E83" s="70" t="inlineStr">
        <is>
          <t>✅ Done</t>
        </is>
      </c>
      <c r="F83" s="68" t="inlineStr">
        <is>
          <t>requests.RequestException caught; returns None safely</t>
        </is>
      </c>
      <c r="G83" s="68" t="inlineStr">
        <is>
          <t>oss_scorer.py</t>
        </is>
      </c>
      <c r="H83" s="68" t="n"/>
    </row>
    <row r="84" ht="39.75" customHeight="1" s="49">
      <c r="A84" s="68" t="inlineStr">
        <is>
          <t>OPG-083</t>
        </is>
      </c>
      <c r="B84" s="68" t="inlineStr">
        <is>
          <t>WS08 OpenSSF Scorecard</t>
        </is>
      </c>
      <c r="C84" s="68" t="inlineStr">
        <is>
          <t>Scorecard blended into security score</t>
        </is>
      </c>
      <c r="D84" s="69" t="inlineStr">
        <is>
          <t>P0</t>
        </is>
      </c>
      <c r="E84" s="70" t="inlineStr">
        <is>
          <t>✅ Done</t>
        </is>
      </c>
      <c r="F84" s="68" t="inlineStr">
        <is>
          <t>0.6 x CVE_score + 0.4 x (scorecard x 10) at 40% weight</t>
        </is>
      </c>
      <c r="G84" s="68" t="inlineStr">
        <is>
          <t>oss_scorer.py</t>
        </is>
      </c>
      <c r="H84" s="68" t="n"/>
    </row>
    <row r="85" ht="39.75" customHeight="1" s="49">
      <c r="A85" s="68" t="inlineStr">
        <is>
          <t>OPG-084</t>
        </is>
      </c>
      <c r="B85" s="68" t="inlineStr">
        <is>
          <t>WS08 OpenSSF Scorecard</t>
        </is>
      </c>
      <c r="C85" s="68" t="inlineStr">
        <is>
          <t>scorecard.enabled flag guard</t>
        </is>
      </c>
      <c r="D85" s="69" t="inlineStr">
        <is>
          <t>P0</t>
        </is>
      </c>
      <c r="E85" s="70" t="inlineStr">
        <is>
          <t>✅ Done</t>
        </is>
      </c>
      <c r="F85" s="68" t="inlineStr">
        <is>
          <t>Guard in get_scorecard() skips HTTP call and returns None when disabled</t>
        </is>
      </c>
      <c r="G85" s="68" t="inlineStr">
        <is>
          <t>oss_scorer.py</t>
        </is>
      </c>
      <c r="H85" s="68" t="inlineStr">
        <is>
          <t>Gap C fix</t>
        </is>
      </c>
    </row>
    <row r="86" ht="39.75" customHeight="1" s="49">
      <c r="A86" s="68" t="inlineStr">
        <is>
          <t>OPG-085</t>
        </is>
      </c>
      <c r="B86" s="68" t="inlineStr">
        <is>
          <t>WS09 Contributor Geolocation</t>
        </is>
      </c>
      <c r="C86" s="68" t="inlineStr">
        <is>
          <t>Fast-path location lookup</t>
        </is>
      </c>
      <c r="D86" s="69" t="inlineStr">
        <is>
          <t>P0</t>
        </is>
      </c>
      <c r="E86" s="70" t="inlineStr">
        <is>
          <t>✅ Done</t>
        </is>
      </c>
      <c r="F86" s="68" t="inlineStr">
        <is>
          <t>_LOCATION_COUNTRY_MAP with ~150 entries; covers high-risk nations and major developer cities</t>
        </is>
      </c>
      <c r="G86" s="68" t="inlineStr">
        <is>
          <t>oss_scorer.py</t>
        </is>
      </c>
      <c r="H86" s="68" t="n"/>
    </row>
    <row r="87" ht="39.75" customHeight="1" s="49">
      <c r="A87" s="68" t="inlineStr">
        <is>
          <t>OPG-086</t>
        </is>
      </c>
      <c r="B87" s="68" t="inlineStr">
        <is>
          <t>WS09 Contributor Geolocation</t>
        </is>
      </c>
      <c r="C87" s="68" t="inlineStr">
        <is>
          <t>Nominatim fallback geocoding</t>
        </is>
      </c>
      <c r="D87" s="71" t="inlineStr">
        <is>
          <t>P1</t>
        </is>
      </c>
      <c r="E87" s="70" t="inlineStr">
        <is>
          <t>✅ Done</t>
        </is>
      </c>
      <c r="F87" s="68" t="inlineStr">
        <is>
          <t>_geocode_location() via OpenStreetMap Nominatim; no API key required</t>
        </is>
      </c>
      <c r="G87" s="68" t="inlineStr">
        <is>
          <t>oss_scorer.py</t>
        </is>
      </c>
      <c r="H87" s="68" t="n"/>
    </row>
    <row r="88" ht="39.75" customHeight="1" s="49">
      <c r="A88" s="68" t="inlineStr">
        <is>
          <t>OPG-087</t>
        </is>
      </c>
      <c r="B88" s="68" t="inlineStr">
        <is>
          <t>WS09 Contributor Geolocation</t>
        </is>
      </c>
      <c r="C88" s="68" t="inlineStr">
        <is>
          <t>Configurable Nominatim URL and User-Agent</t>
        </is>
      </c>
      <c r="D88" s="71" t="inlineStr">
        <is>
          <t>P1</t>
        </is>
      </c>
      <c r="E88" s="70" t="inlineStr">
        <is>
          <t>✅ Done</t>
        </is>
      </c>
      <c r="F88" s="68" t="inlineStr">
        <is>
          <t>geocoding.nominatim_url and geocoding.user_agent in config.yaml</t>
        </is>
      </c>
      <c r="G88" s="68" t="inlineStr">
        <is>
          <t>oss_scorer.py</t>
        </is>
      </c>
      <c r="H88" s="68" t="n"/>
    </row>
    <row r="89" ht="39.75" customHeight="1" s="49">
      <c r="A89" s="68" t="inlineStr">
        <is>
          <t>OPG-088</t>
        </is>
      </c>
      <c r="B89" s="68" t="inlineStr">
        <is>
          <t>WS09 Contributor Geolocation</t>
        </is>
      </c>
      <c r="C89" s="68" t="inlineStr">
        <is>
          <t>geocoding.enabled flag</t>
        </is>
      </c>
      <c r="D89" s="69" t="inlineStr">
        <is>
          <t>P0</t>
        </is>
      </c>
      <c r="E89" s="70" t="inlineStr">
        <is>
          <t>✅ Done</t>
        </is>
      </c>
      <c r="F89" s="68" t="inlineStr">
        <is>
          <t>Gates all geolocation; returns empty list without any HTTP call</t>
        </is>
      </c>
      <c r="G89" s="68" t="inlineStr">
        <is>
          <t>oss_scorer.py</t>
        </is>
      </c>
      <c r="H89" s="68" t="n"/>
    </row>
    <row r="90" ht="39.75" customHeight="1" s="49">
      <c r="A90" s="68" t="inlineStr">
        <is>
          <t>OPG-089</t>
        </is>
      </c>
      <c r="B90" s="68" t="inlineStr">
        <is>
          <t>WS09 Contributor Geolocation</t>
        </is>
      </c>
      <c r="C90" s="68" t="inlineStr">
        <is>
          <t>Case-insensitive location string matching</t>
        </is>
      </c>
      <c r="D90" s="69" t="inlineStr">
        <is>
          <t>P0</t>
        </is>
      </c>
      <c r="E90" s="70" t="inlineStr">
        <is>
          <t>✅ Done</t>
        </is>
      </c>
      <c r="F90" s="68" t="inlineStr">
        <is>
          <t>.lower().strip() before lookup in location dictionary</t>
        </is>
      </c>
      <c r="G90" s="68" t="inlineStr">
        <is>
          <t>oss_scorer.py</t>
        </is>
      </c>
      <c r="H90" s="68" t="n"/>
    </row>
    <row r="91" ht="39.75" customHeight="1" s="49">
      <c r="A91" s="68" t="inlineStr">
        <is>
          <t>OPG-090</t>
        </is>
      </c>
      <c r="B91" s="68" t="inlineStr">
        <is>
          <t>WS09 Contributor Geolocation</t>
        </is>
      </c>
      <c r="C91" s="68" t="inlineStr">
        <is>
          <t>Best-effort geocoding failures</t>
        </is>
      </c>
      <c r="D91" s="69" t="inlineStr">
        <is>
          <t>P0</t>
        </is>
      </c>
      <c r="E91" s="70" t="inlineStr">
        <is>
          <t>✅ Done</t>
        </is>
      </c>
      <c r="F91" s="68" t="inlineStr">
        <is>
          <t>Nominatim network errors silently swallowed; returns empty string</t>
        </is>
      </c>
      <c r="G91" s="68" t="inlineStr">
        <is>
          <t>oss_scorer.py</t>
        </is>
      </c>
      <c r="H91" s="68" t="n"/>
    </row>
    <row r="92" ht="39.75" customHeight="1" s="49">
      <c r="A92" s="68" t="inlineStr">
        <is>
          <t>OPG-091</t>
        </is>
      </c>
      <c r="B92" s="68" t="inlineStr">
        <is>
          <t>WS09 Contributor Geolocation</t>
        </is>
      </c>
      <c r="C92" s="68" t="inlineStr">
        <is>
          <t>ISO 3166-1 alpha-2 country codes</t>
        </is>
      </c>
      <c r="D92" s="69" t="inlineStr">
        <is>
          <t>P0</t>
        </is>
      </c>
      <c r="E92" s="70" t="inlineStr">
        <is>
          <t>✅ Done</t>
        </is>
      </c>
      <c r="F92" s="68" t="inlineStr">
        <is>
          <t>Used for geo-risk country comparison</t>
        </is>
      </c>
      <c r="G92" s="68" t="inlineStr">
        <is>
          <t>oss_scorer.py</t>
        </is>
      </c>
      <c r="H92" s="68" t="n"/>
    </row>
    <row r="93" ht="39.75" customHeight="1" s="49">
      <c r="A93" s="68" t="inlineStr">
        <is>
          <t>OPG-092</t>
        </is>
      </c>
      <c r="B93" s="68" t="inlineStr">
        <is>
          <t>WS09 Contributor Geolocation</t>
        </is>
      </c>
      <c r="C93" s="68" t="inlineStr">
        <is>
          <t>Contributor commit-count weighting</t>
        </is>
      </c>
      <c r="D93" s="69" t="inlineStr">
        <is>
          <t>P0</t>
        </is>
      </c>
      <c r="E93" s="70" t="inlineStr">
        <is>
          <t>✅ Done</t>
        </is>
      </c>
      <c r="F93" s="68" t="inlineStr">
        <is>
          <t>_calculate_geo_risk_score() weights geo risk by contributions count</t>
        </is>
      </c>
      <c r="G93" s="68" t="inlineStr">
        <is>
          <t>oss_scorer.py</t>
        </is>
      </c>
      <c r="H93" s="68" t="n"/>
    </row>
    <row r="94" ht="39.75" customHeight="1" s="49">
      <c r="A94" s="68" t="inlineStr">
        <is>
          <t>OPG-093</t>
        </is>
      </c>
      <c r="B94" s="68" t="inlineStr">
        <is>
          <t>WS09 Contributor Geolocation</t>
        </is>
      </c>
      <c r="C94" s="68" t="inlineStr">
        <is>
          <t>Configurable high-risk countries</t>
        </is>
      </c>
      <c r="D94" s="69" t="inlineStr">
        <is>
          <t>P0</t>
        </is>
      </c>
      <c r="E94" s="70" t="inlineStr">
        <is>
          <t>✅ Done</t>
        </is>
      </c>
      <c r="F94" s="68" t="inlineStr">
        <is>
          <t>risk.high_risk_countries in config.yaml; default: CN, RU, IR, KP, SY</t>
        </is>
      </c>
      <c r="G94" s="68" t="inlineStr">
        <is>
          <t>oss_scorer.py</t>
        </is>
      </c>
      <c r="H94" s="68" t="n"/>
    </row>
    <row r="95" ht="39.75" customHeight="1" s="49">
      <c r="A95" s="68" t="inlineStr">
        <is>
          <t>OPG-094</t>
        </is>
      </c>
      <c r="B95" s="68" t="inlineStr">
        <is>
          <t>WS09 Contributor Geolocation</t>
        </is>
      </c>
      <c r="C95" s="68" t="inlineStr">
        <is>
          <t>Unknown location partial penalty</t>
        </is>
      </c>
      <c r="D95" s="69" t="inlineStr">
        <is>
          <t>P0</t>
        </is>
      </c>
      <c r="E95" s="70" t="inlineStr">
        <is>
          <t>✅ Done</t>
        </is>
      </c>
      <c r="F95" s="68" t="inlineStr">
        <is>
          <t>20% penalty applied for unresolvable contributor locations</t>
        </is>
      </c>
      <c r="G95" s="68" t="inlineStr">
        <is>
          <t>oss_scorer.py</t>
        </is>
      </c>
      <c r="H95" s="68" t="n"/>
    </row>
    <row r="96" ht="39.75" customHeight="1" s="49">
      <c r="A96" s="68" t="inlineStr">
        <is>
          <t>OPG-095</t>
        </is>
      </c>
      <c r="B96" s="68" t="inlineStr">
        <is>
          <t>WS10 Scoring Algorithms</t>
        </is>
      </c>
      <c r="C96" s="68" t="inlineStr">
        <is>
          <t>Activity score algorithm</t>
        </is>
      </c>
      <c r="D96" s="69" t="inlineStr">
        <is>
          <t>P0</t>
        </is>
      </c>
      <c r="E96" s="70" t="inlineStr">
        <is>
          <t>✅ Done</t>
        </is>
      </c>
      <c r="F96" s="68" t="inlineStr">
        <is>
          <t>&lt;7d-&gt;100, &lt;30d-&gt;80, &lt;90d-&gt;60, &lt;365d-&gt;30, &gt;=365d-&gt;10, no data-&gt;40</t>
        </is>
      </c>
      <c r="G96" s="68" t="inlineStr">
        <is>
          <t>oss_scorer.py</t>
        </is>
      </c>
      <c r="H96" s="68" t="n"/>
    </row>
    <row r="97" ht="39.75" customHeight="1" s="49">
      <c r="A97" s="68" t="inlineStr">
        <is>
          <t>OPG-096</t>
        </is>
      </c>
      <c r="B97" s="68" t="inlineStr">
        <is>
          <t>WS10 Scoring Algorithms</t>
        </is>
      </c>
      <c r="C97" s="68" t="inlineStr">
        <is>
          <t>Security score EPSS-weighted CVE deductions</t>
        </is>
      </c>
      <c r="D97" s="69" t="inlineStr">
        <is>
          <t>P0</t>
        </is>
      </c>
      <c r="E97" s="70" t="inlineStr">
        <is>
          <t>✅ Done</t>
        </is>
      </c>
      <c r="F97" s="68" t="inlineStr">
        <is>
          <t>EPSS&gt;=0.5-&gt;-15, 0.1-0.5-&gt;-8, &gt;0-&gt;-2; fallback: CRITICAL-&gt;-10, HIGH-&gt;-5, MEDIUM-&gt;-2</t>
        </is>
      </c>
      <c r="G97" s="68" t="inlineStr">
        <is>
          <t>oss_scorer.py</t>
        </is>
      </c>
      <c r="H97" s="68" t="n"/>
    </row>
    <row r="98" ht="39.75" customHeight="1" s="49">
      <c r="A98" s="68" t="inlineStr">
        <is>
          <t>OPG-097</t>
        </is>
      </c>
      <c r="B98" s="68" t="inlineStr">
        <is>
          <t>WS10 Scoring Algorithms</t>
        </is>
      </c>
      <c r="C98" s="68" t="inlineStr">
        <is>
          <t>Security score OSV extra-advisory deduction</t>
        </is>
      </c>
      <c r="D98" s="69" t="inlineStr">
        <is>
          <t>P0</t>
        </is>
      </c>
      <c r="E98" s="70" t="inlineStr">
        <is>
          <t>✅ Done</t>
        </is>
      </c>
      <c r="F98" s="68" t="inlineStr">
        <is>
          <t>-3 pts per GHSA/ecosystem advisory; capped at -20 pts (configurable)</t>
        </is>
      </c>
      <c r="G98" s="68" t="inlineStr">
        <is>
          <t>oss_scorer.py</t>
        </is>
      </c>
      <c r="H98" s="68" t="n"/>
    </row>
    <row r="99" ht="39.75" customHeight="1" s="49">
      <c r="A99" s="68" t="inlineStr">
        <is>
          <t>OPG-098</t>
        </is>
      </c>
      <c r="B99" s="68" t="inlineStr">
        <is>
          <t>WS10 Scoring Algorithms</t>
        </is>
      </c>
      <c r="C99" s="68" t="inlineStr">
        <is>
          <t>Malicious package forces security score to 0</t>
        </is>
      </c>
      <c r="D99" s="69" t="inlineStr">
        <is>
          <t>P0</t>
        </is>
      </c>
      <c r="E99" s="70" t="inlineStr">
        <is>
          <t>✅ Done</t>
        </is>
      </c>
      <c r="F99" s="68" t="inlineStr">
        <is>
          <t>Triggered by is_malicious=True + auto_prohibit=True</t>
        </is>
      </c>
      <c r="G99" s="68" t="inlineStr">
        <is>
          <t>oss_scorer.py</t>
        </is>
      </c>
      <c r="H99" s="68" t="n"/>
    </row>
    <row r="100" ht="39.75" customHeight="1" s="49">
      <c r="A100" s="68" t="inlineStr">
        <is>
          <t>OPG-099</t>
        </is>
      </c>
      <c r="B100" s="68" t="inlineStr">
        <is>
          <t>WS10 Scoring Algorithms</t>
        </is>
      </c>
      <c r="C100" s="68" t="inlineStr">
        <is>
          <t>OpenSSF Scorecard blended into security score</t>
        </is>
      </c>
      <c r="D100" s="69" t="inlineStr">
        <is>
          <t>P0</t>
        </is>
      </c>
      <c r="E100" s="70" t="inlineStr">
        <is>
          <t>✅ Done</t>
        </is>
      </c>
      <c r="F100" s="68" t="inlineStr">
        <is>
          <t>0.6 x CVE_score + 0.4 x (scorecard x 10)</t>
        </is>
      </c>
      <c r="G100" s="68" t="inlineStr">
        <is>
          <t>oss_scorer.py</t>
        </is>
      </c>
      <c r="H100" s="68" t="n"/>
    </row>
    <row r="101" ht="39.75" customHeight="1" s="49">
      <c r="A101" s="68" t="inlineStr">
        <is>
          <t>OPG-100</t>
        </is>
      </c>
      <c r="B101" s="68" t="inlineStr">
        <is>
          <t>WS10 Scoring Algorithms</t>
        </is>
      </c>
      <c r="C101" s="68" t="inlineStr">
        <is>
          <t>Trust score — fork count maturity</t>
        </is>
      </c>
      <c r="D101" s="69" t="inlineStr">
        <is>
          <t>P0</t>
        </is>
      </c>
      <c r="E101" s="70" t="inlineStr">
        <is>
          <t>✅ Done</t>
        </is>
      </c>
      <c r="F101" s="68" t="inlineStr">
        <is>
          <t>&gt;5K forks-&gt;100, &gt;1K-&gt;80, &gt;100-&gt;60, low-&gt;40, no data-&gt;50 neutral; 60% weight</t>
        </is>
      </c>
      <c r="G101" s="68" t="inlineStr">
        <is>
          <t>oss_scorer.py</t>
        </is>
      </c>
      <c r="H101" s="68" t="n"/>
    </row>
    <row r="102" ht="39.75" customHeight="1" s="49">
      <c r="A102" s="68" t="inlineStr">
        <is>
          <t>OPG-101</t>
        </is>
      </c>
      <c r="B102" s="68" t="inlineStr">
        <is>
          <t>WS10 Scoring Algorithms</t>
        </is>
      </c>
      <c r="C102" s="68" t="inlineStr">
        <is>
          <t>Trust score — geopolitical risk</t>
        </is>
      </c>
      <c r="D102" s="69" t="inlineStr">
        <is>
          <t>P0</t>
        </is>
      </c>
      <c r="E102" s="70" t="inlineStr">
        <is>
          <t>✅ Done</t>
        </is>
      </c>
      <c r="F102" s="68" t="inlineStr">
        <is>
          <t>_calculate_geo_risk_score() — commit-weighted penalty; 40% weight</t>
        </is>
      </c>
      <c r="G102" s="68" t="inlineStr">
        <is>
          <t>oss_scorer.py</t>
        </is>
      </c>
      <c r="H102" s="68" t="n"/>
    </row>
    <row r="103" ht="39.75" customHeight="1" s="49">
      <c r="A103" s="68" t="inlineStr">
        <is>
          <t>OPG-102</t>
        </is>
      </c>
      <c r="B103" s="68" t="inlineStr">
        <is>
          <t>WS10 Scoring Algorithms</t>
        </is>
      </c>
      <c r="C103" s="68" t="inlineStr">
        <is>
          <t>Community score — weekly download count</t>
        </is>
      </c>
      <c r="D103" s="69" t="inlineStr">
        <is>
          <t>P0</t>
        </is>
      </c>
      <c r="E103" s="70" t="inlineStr">
        <is>
          <t>✅ Done</t>
        </is>
      </c>
      <c r="F103" s="68" t="inlineStr">
        <is>
          <t>&gt;1M-&gt;100, &gt;100K-&gt;80, &gt;10K-&gt;60, else-&gt;40; 70% weight</t>
        </is>
      </c>
      <c r="G103" s="68" t="inlineStr">
        <is>
          <t>oss_scorer.py</t>
        </is>
      </c>
      <c r="H103" s="68" t="n"/>
    </row>
    <row r="104" ht="39.75" customHeight="1" s="49">
      <c r="A104" s="68" t="inlineStr">
        <is>
          <t>OPG-103</t>
        </is>
      </c>
      <c r="B104" s="68" t="inlineStr">
        <is>
          <t>WS10 Scoring Algorithms</t>
        </is>
      </c>
      <c r="C104" s="68" t="inlineStr">
        <is>
          <t>Community score — GitHub star count</t>
        </is>
      </c>
      <c r="D104" s="69" t="inlineStr">
        <is>
          <t>P0</t>
        </is>
      </c>
      <c r="E104" s="70" t="inlineStr">
        <is>
          <t>✅ Done</t>
        </is>
      </c>
      <c r="F104" s="68" t="inlineStr">
        <is>
          <t>&gt;10K-&gt;100, &gt;1K-&gt;80, &gt;100-&gt;60, else-&gt;40; 30% weight</t>
        </is>
      </c>
      <c r="G104" s="68" t="inlineStr">
        <is>
          <t>oss_scorer.py</t>
        </is>
      </c>
      <c r="H104" s="68" t="n"/>
    </row>
    <row r="105" ht="39.75" customHeight="1" s="49">
      <c r="A105" s="68" t="inlineStr">
        <is>
          <t>OPG-104</t>
        </is>
      </c>
      <c r="B105" s="68" t="inlineStr">
        <is>
          <t>WS10 Scoring Algorithms</t>
        </is>
      </c>
      <c r="C105" s="68" t="inlineStr">
        <is>
          <t>Single-signal community score fallback</t>
        </is>
      </c>
      <c r="D105" s="69" t="inlineStr">
        <is>
          <t>P0</t>
        </is>
      </c>
      <c r="E105" s="70" t="inlineStr">
        <is>
          <t>✅ Done</t>
        </is>
      </c>
      <c r="F105" s="68" t="inlineStr">
        <is>
          <t>Downloads-only or stars-only handled separately when one signal unavailable</t>
        </is>
      </c>
      <c r="G105" s="68" t="inlineStr">
        <is>
          <t>oss_scorer.py</t>
        </is>
      </c>
      <c r="H105" s="68" t="n"/>
    </row>
    <row r="106" ht="39.75" customHeight="1" s="49">
      <c r="A106" s="68" t="inlineStr">
        <is>
          <t>OPG-105</t>
        </is>
      </c>
      <c r="B106" s="68" t="inlineStr">
        <is>
          <t>WS10 Scoring Algorithms</t>
        </is>
      </c>
      <c r="C106" s="68" t="inlineStr">
        <is>
          <t>Weighted total score</t>
        </is>
      </c>
      <c r="D106" s="69" t="inlineStr">
        <is>
          <t>P0</t>
        </is>
      </c>
      <c r="E106" s="70" t="inlineStr">
        <is>
          <t>✅ Done</t>
        </is>
      </c>
      <c r="F106" s="68" t="inlineStr">
        <is>
          <t>Configurable weights: activity=30%, trust=20%, security=35%, community=15%</t>
        </is>
      </c>
      <c r="G106" s="68" t="inlineStr">
        <is>
          <t>oss_scorer.py</t>
        </is>
      </c>
      <c r="H106" s="68" t="n"/>
    </row>
    <row r="107" ht="39.75" customHeight="1" s="49">
      <c r="A107" s="68" t="inlineStr">
        <is>
          <t>OPG-106</t>
        </is>
      </c>
      <c r="B107" s="68" t="inlineStr">
        <is>
          <t>WS10 Scoring Algorithms</t>
        </is>
      </c>
      <c r="C107" s="68" t="inlineStr">
        <is>
          <t>Score weights must sum to 100</t>
        </is>
      </c>
      <c r="D107" s="69" t="inlineStr">
        <is>
          <t>P0</t>
        </is>
      </c>
      <c r="E107" s="70" t="inlineStr">
        <is>
          <t>✅ Done</t>
        </is>
      </c>
      <c r="F107" s="68" t="inlineStr">
        <is>
          <t>_load_config emits UserWarning with actual sum when weights don't add to 100</t>
        </is>
      </c>
      <c r="G107" s="68" t="inlineStr">
        <is>
          <t>oss_scorer.py</t>
        </is>
      </c>
      <c r="H107" s="68" t="inlineStr">
        <is>
          <t>Gap D fix</t>
        </is>
      </c>
    </row>
    <row r="108" ht="39.75" customHeight="1" s="49">
      <c r="A108" s="68" t="inlineStr">
        <is>
          <t>OPG-107</t>
        </is>
      </c>
      <c r="B108" s="68" t="inlineStr">
        <is>
          <t>WS10 Scoring Algorithms</t>
        </is>
      </c>
      <c r="C108" s="68" t="inlineStr">
        <is>
          <t>Issue / PR response time metric</t>
        </is>
      </c>
      <c r="D108" s="72" t="inlineStr">
        <is>
          <t>P2</t>
        </is>
      </c>
      <c r="E108" s="73" t="inlineStr">
        <is>
          <t>❌ Not Started</t>
        </is>
      </c>
      <c r="F108" s="68" t="inlineStr">
        <is>
          <t>Future roadmap — requires GitHub Issues API integration</t>
        </is>
      </c>
      <c r="G108" s="68" t="n"/>
      <c r="H108" s="68" t="n"/>
    </row>
    <row r="109" ht="39.75" customHeight="1" s="49">
      <c r="A109" s="68" t="inlineStr">
        <is>
          <t>OPG-108</t>
        </is>
      </c>
      <c r="B109" s="68" t="inlineStr">
        <is>
          <t>WS10 Scoring Algorithms</t>
        </is>
      </c>
      <c r="C109" s="68" t="inlineStr">
        <is>
          <t>Release cadence analysis</t>
        </is>
      </c>
      <c r="D109" s="72" t="inlineStr">
        <is>
          <t>P2</t>
        </is>
      </c>
      <c r="E109" s="73" t="inlineStr">
        <is>
          <t>❌ Not Started</t>
        </is>
      </c>
      <c r="F109" s="68" t="inlineStr">
        <is>
          <t>Future roadmap — requires GitHub Releases API</t>
        </is>
      </c>
      <c r="G109" s="68" t="n"/>
      <c r="H109" s="68" t="n"/>
    </row>
    <row r="110" ht="39.75" customHeight="1" s="49">
      <c r="A110" s="68" t="inlineStr">
        <is>
          <t>OPG-109</t>
        </is>
      </c>
      <c r="B110" s="68" t="inlineStr">
        <is>
          <t>WS10 Scoring Algorithms</t>
        </is>
      </c>
      <c r="C110" s="68" t="inlineStr">
        <is>
          <t>Commit frequency metric</t>
        </is>
      </c>
      <c r="D110" s="72" t="inlineStr">
        <is>
          <t>P2</t>
        </is>
      </c>
      <c r="E110" s="73" t="inlineStr">
        <is>
          <t>❌ Not Started</t>
        </is>
      </c>
      <c r="F110" s="68" t="inlineStr">
        <is>
          <t>Future roadmap — separate from staleness signal</t>
        </is>
      </c>
      <c r="G110" s="68" t="n"/>
      <c r="H110" s="68" t="n"/>
    </row>
    <row r="111" ht="39.75" customHeight="1" s="49">
      <c r="A111" s="68" t="inlineStr">
        <is>
          <t>OPG-110</t>
        </is>
      </c>
      <c r="B111" s="68" t="inlineStr">
        <is>
          <t>WS10 Scoring Algorithms</t>
        </is>
      </c>
      <c r="C111" s="68" t="inlineStr">
        <is>
          <t>Transitive dependency vulnerability depth</t>
        </is>
      </c>
      <c r="D111" s="72" t="inlineStr">
        <is>
          <t>P2</t>
        </is>
      </c>
      <c r="E111" s="73" t="inlineStr">
        <is>
          <t>❌ Not Started</t>
        </is>
      </c>
      <c r="F111" s="68" t="inlineStr">
        <is>
          <t>Future roadmap — full transitive graph analysis</t>
        </is>
      </c>
      <c r="G111" s="68" t="n"/>
      <c r="H111" s="68" t="n"/>
    </row>
    <row r="112" ht="39.75" customHeight="1" s="49">
      <c r="A112" s="68" t="inlineStr">
        <is>
          <t>OPG-111</t>
        </is>
      </c>
      <c r="B112" s="68" t="inlineStr">
        <is>
          <t>WS11 Approval &amp; Risk Logic</t>
        </is>
      </c>
      <c r="C112" s="68" t="inlineStr">
        <is>
          <t>Mission Critical approval tiers</t>
        </is>
      </c>
      <c r="D112" s="69" t="inlineStr">
        <is>
          <t>P0</t>
        </is>
      </c>
      <c r="E112" s="70" t="inlineStr">
        <is>
          <t>✅ Done</t>
        </is>
      </c>
      <c r="F112" s="68" t="inlineStr">
        <is>
          <t>&gt;=90-&gt;APPROVED, &gt;=80-&gt;REVIEW BOARD, else-&gt;PROHIBITED</t>
        </is>
      </c>
      <c r="G112" s="68" t="inlineStr">
        <is>
          <t>oss_scorer.py</t>
        </is>
      </c>
      <c r="H112" s="68" t="n"/>
    </row>
    <row r="113" ht="39.75" customHeight="1" s="49">
      <c r="A113" s="68" t="inlineStr">
        <is>
          <t>OPG-112</t>
        </is>
      </c>
      <c r="B113" s="68" t="inlineStr">
        <is>
          <t>WS11 Approval &amp; Risk Logic</t>
        </is>
      </c>
      <c r="C113" s="68" t="inlineStr">
        <is>
          <t>Business Critical approval tiers</t>
        </is>
      </c>
      <c r="D113" s="69" t="inlineStr">
        <is>
          <t>P0</t>
        </is>
      </c>
      <c r="E113" s="70" t="inlineStr">
        <is>
          <t>✅ Done</t>
        </is>
      </c>
      <c r="F113" s="68" t="inlineStr">
        <is>
          <t>&gt;=80-&gt;APPROVED, &gt;=70-&gt;MITIGATION REQUIRED, else-&gt;PROHIBITED</t>
        </is>
      </c>
      <c r="G113" s="68" t="inlineStr">
        <is>
          <t>oss_scorer.py</t>
        </is>
      </c>
      <c r="H113" s="68" t="n"/>
    </row>
    <row r="114" ht="39.75" customHeight="1" s="49">
      <c r="A114" s="68" t="inlineStr">
        <is>
          <t>OPG-113</t>
        </is>
      </c>
      <c r="B114" s="68" t="inlineStr">
        <is>
          <t>WS11 Approval &amp; Risk Logic</t>
        </is>
      </c>
      <c r="C114" s="68" t="inlineStr">
        <is>
          <t>Non-Critical approval tiers</t>
        </is>
      </c>
      <c r="D114" s="69" t="inlineStr">
        <is>
          <t>P0</t>
        </is>
      </c>
      <c r="E114" s="70" t="inlineStr">
        <is>
          <t>✅ Done</t>
        </is>
      </c>
      <c r="F114" s="68" t="inlineStr">
        <is>
          <t>&gt;=70-&gt;AUTO-APPROVED, &gt;=60-&gt;APPROVED, else-&gt;MITIGATION REQUIRED</t>
        </is>
      </c>
      <c r="G114" s="68" t="inlineStr">
        <is>
          <t>oss_scorer.py</t>
        </is>
      </c>
      <c r="H114" s="68" t="n"/>
    </row>
    <row r="115" ht="39.75" customHeight="1" s="49">
      <c r="A115" s="68" t="inlineStr">
        <is>
          <t>OPG-114</t>
        </is>
      </c>
      <c r="B115" s="68" t="inlineStr">
        <is>
          <t>WS11 Approval &amp; Risk Logic</t>
        </is>
      </c>
      <c r="C115" s="68" t="inlineStr">
        <is>
          <t>Criticality field validation</t>
        </is>
      </c>
      <c r="D115" s="69" t="inlineStr">
        <is>
          <t>P0</t>
        </is>
      </c>
      <c r="E115" s="70" t="inlineStr">
        <is>
          <t>✅ Done</t>
        </is>
      </c>
      <c r="F115" s="68" t="inlineStr">
        <is>
          <t>ValueError raised for any value outside _VALID_CRITICALITY set</t>
        </is>
      </c>
      <c r="G115" s="68" t="inlineStr">
        <is>
          <t>oss_scorer.py</t>
        </is>
      </c>
      <c r="H115" s="68" t="n"/>
    </row>
    <row r="116" ht="39.75" customHeight="1" s="49">
      <c r="A116" s="68" t="inlineStr">
        <is>
          <t>OPG-115</t>
        </is>
      </c>
      <c r="B116" s="68" t="inlineStr">
        <is>
          <t>WS11 Approval &amp; Risk Logic</t>
        </is>
      </c>
      <c r="C116" s="68" t="inlineStr">
        <is>
          <t>component_data type validation</t>
        </is>
      </c>
      <c r="D116" s="69" t="inlineStr">
        <is>
          <t>P0</t>
        </is>
      </c>
      <c r="E116" s="70" t="inlineStr">
        <is>
          <t>✅ Done</t>
        </is>
      </c>
      <c r="F116" s="68" t="inlineStr">
        <is>
          <t>TypeError raised with descriptive message if component_data is not a dict</t>
        </is>
      </c>
      <c r="G116" s="68" t="inlineStr">
        <is>
          <t>oss_scorer.py</t>
        </is>
      </c>
      <c r="H116" s="68" t="n"/>
    </row>
    <row r="117" ht="39.75" customHeight="1" s="49">
      <c r="A117" s="68" t="inlineStr">
        <is>
          <t>OPG-116</t>
        </is>
      </c>
      <c r="B117" s="68" t="inlineStr">
        <is>
          <t>WS11 Approval &amp; Risk Logic</t>
        </is>
      </c>
      <c r="C117" s="68" t="inlineStr">
        <is>
          <t>Malicious package PROHIBITED override</t>
        </is>
      </c>
      <c r="D117" s="69" t="inlineStr">
        <is>
          <t>P0</t>
        </is>
      </c>
      <c r="E117" s="70" t="inlineStr">
        <is>
          <t>✅ Done</t>
        </is>
      </c>
      <c r="F117" s="68" t="inlineStr">
        <is>
          <t>Post-scoring override in evaluate_component() regardless of numerical score</t>
        </is>
      </c>
      <c r="G117" s="68" t="inlineStr">
        <is>
          <t>oss_scorer.py</t>
        </is>
      </c>
      <c r="H117" s="68" t="n"/>
    </row>
    <row r="118" ht="39.75" customHeight="1" s="49">
      <c r="A118" s="68" t="inlineStr">
        <is>
          <t>OPG-117</t>
        </is>
      </c>
      <c r="B118" s="68" t="inlineStr">
        <is>
          <t>WS11 Approval &amp; Risk Logic</t>
        </is>
      </c>
      <c r="C118" s="68" t="inlineStr">
        <is>
          <t>Risk level mapping</t>
        </is>
      </c>
      <c r="D118" s="69" t="inlineStr">
        <is>
          <t>P0</t>
        </is>
      </c>
      <c r="E118" s="70" t="inlineStr">
        <is>
          <t>✅ Done</t>
        </is>
      </c>
      <c r="F118" s="68" t="inlineStr">
        <is>
          <t>Low / Medium-Low / Medium / Medium-High / High via _get_risk_level()</t>
        </is>
      </c>
      <c r="G118" s="68" t="inlineStr">
        <is>
          <t>oss_scorer.py</t>
        </is>
      </c>
      <c r="H118" s="68" t="n"/>
    </row>
    <row r="119" ht="39.75" customHeight="1" s="49">
      <c r="A119" s="68" t="inlineStr">
        <is>
          <t>OPG-118</t>
        </is>
      </c>
      <c r="B119" s="68" t="inlineStr">
        <is>
          <t>WS11 Approval &amp; Risk Logic</t>
        </is>
      </c>
      <c r="C119" s="68" t="inlineStr">
        <is>
          <t>Full audit context in results</t>
        </is>
      </c>
      <c r="D119" s="69" t="inlineStr">
        <is>
          <t>P0</t>
        </is>
      </c>
      <c r="E119" s="70" t="inlineStr">
        <is>
          <t>✅ Done</t>
        </is>
      </c>
      <c r="F119" s="68" t="inlineStr">
        <is>
          <t>timestamp, analysis_version, config_used in every evaluate_component() result</t>
        </is>
      </c>
      <c r="G119" s="68" t="inlineStr">
        <is>
          <t>oss_scorer.py</t>
        </is>
      </c>
      <c r="H119" s="68" t="n"/>
    </row>
    <row r="120" ht="39.75" customHeight="1" s="49">
      <c r="A120" s="68" t="inlineStr">
        <is>
          <t>OPG-119</t>
        </is>
      </c>
      <c r="B120" s="68" t="inlineStr">
        <is>
          <t>WS11 Approval &amp; Risk Logic</t>
        </is>
      </c>
      <c r="C120" s="68" t="inlineStr">
        <is>
          <t>Audit trail persistence</t>
        </is>
      </c>
      <c r="D120" s="71" t="inlineStr">
        <is>
          <t>P1</t>
        </is>
      </c>
      <c r="E120" s="73" t="inlineStr">
        <is>
          <t>❌ Not Started</t>
        </is>
      </c>
      <c r="F120" s="68" t="inlineStr">
        <is>
          <t>Database / file persistence of all evaluation results; immutable audit log</t>
        </is>
      </c>
      <c r="G120" s="68" t="n"/>
      <c r="H120" s="68" t="inlineStr">
        <is>
          <t>OPG-081 ref</t>
        </is>
      </c>
    </row>
    <row r="121" ht="39.75" customHeight="1" s="49">
      <c r="A121" s="68" t="inlineStr">
        <is>
          <t>OPG-120</t>
        </is>
      </c>
      <c r="B121" s="68" t="inlineStr">
        <is>
          <t>WS11 Approval &amp; Risk Logic</t>
        </is>
      </c>
      <c r="C121" s="68" t="inlineStr">
        <is>
          <t>JIRA / Slack / Teams notifications</t>
        </is>
      </c>
      <c r="D121" s="72" t="inlineStr">
        <is>
          <t>P2</t>
        </is>
      </c>
      <c r="E121" s="73" t="inlineStr">
        <is>
          <t>❌ Not Started</t>
        </is>
      </c>
      <c r="F121" s="68" t="inlineStr">
        <is>
          <t>Notification on PROHIBITED results; webhook-based integration</t>
        </is>
      </c>
      <c r="G121" s="68" t="n"/>
      <c r="H121" s="68" t="n"/>
    </row>
    <row r="122" ht="39.75" customHeight="1" s="49">
      <c r="A122" s="68" t="inlineStr">
        <is>
          <t>OPG-121</t>
        </is>
      </c>
      <c r="B122" s="68" t="inlineStr">
        <is>
          <t>WS12 Visualization &amp; Jupyter</t>
        </is>
      </c>
      <c r="C122" s="68" t="inlineStr">
        <is>
          <t>Score breakdown bar chart</t>
        </is>
      </c>
      <c r="D122" s="71" t="inlineStr">
        <is>
          <t>P1</t>
        </is>
      </c>
      <c r="E122" s="70" t="inlineStr">
        <is>
          <t>✅ Done</t>
        </is>
      </c>
      <c r="F122" s="68" t="inlineStr">
        <is>
          <t>OSSVisualizer.create_dashboard() — colour-coded four-component bar chart (matplotlib)</t>
        </is>
      </c>
      <c r="G122" s="68" t="inlineStr">
        <is>
          <t>oss_scorer.py</t>
        </is>
      </c>
      <c r="H122" s="68" t="n"/>
    </row>
    <row r="123" ht="39.75" customHeight="1" s="49">
      <c r="A123" s="68" t="inlineStr">
        <is>
          <t>OPG-122</t>
        </is>
      </c>
      <c r="B123" s="68" t="inlineStr">
        <is>
          <t>WS12 Visualization &amp; Jupyter</t>
        </is>
      </c>
      <c r="C123" s="68" t="inlineStr">
        <is>
          <t>Risk gauge pie chart</t>
        </is>
      </c>
      <c r="D123" s="71" t="inlineStr">
        <is>
          <t>P1</t>
        </is>
      </c>
      <c r="E123" s="70" t="inlineStr">
        <is>
          <t>✅ Done</t>
        </is>
      </c>
      <c r="F123" s="68" t="inlineStr">
        <is>
          <t>Score vs risk gap; colour-keyed to risk level</t>
        </is>
      </c>
      <c r="G123" s="68" t="inlineStr">
        <is>
          <t>oss_scorer.py</t>
        </is>
      </c>
      <c r="H123" s="68" t="n"/>
    </row>
    <row r="124" ht="39.75" customHeight="1" s="49">
      <c r="A124" s="68" t="inlineStr">
        <is>
          <t>OPG-123</t>
        </is>
      </c>
      <c r="B124" s="68" t="inlineStr">
        <is>
          <t>WS12 Visualization &amp; Jupyter</t>
        </is>
      </c>
      <c r="C124" s="68" t="inlineStr">
        <is>
          <t>Scoring framework reference table</t>
        </is>
      </c>
      <c r="D124" s="71" t="inlineStr">
        <is>
          <t>P1</t>
        </is>
      </c>
      <c r="E124" s="70" t="inlineStr">
        <is>
          <t>✅ Done</t>
        </is>
      </c>
      <c r="F124" s="68" t="inlineStr">
        <is>
          <t>pandas DataFrame rendered as styled Markdown via IPython.display</t>
        </is>
      </c>
      <c r="G124" s="68" t="inlineStr">
        <is>
          <t>oss_scorer.py</t>
        </is>
      </c>
      <c r="H124" s="68" t="n"/>
    </row>
    <row r="125" ht="39.75" customHeight="1" s="49">
      <c r="A125" s="68" t="inlineStr">
        <is>
          <t>OPG-124</t>
        </is>
      </c>
      <c r="B125" s="68" t="inlineStr">
        <is>
          <t>WS12 Visualization &amp; Jupyter</t>
        </is>
      </c>
      <c r="C125" s="68" t="inlineStr">
        <is>
          <t>Risk heat mapping table</t>
        </is>
      </c>
      <c r="D125" s="71" t="inlineStr">
        <is>
          <t>P1</t>
        </is>
      </c>
      <c r="E125" s="70" t="inlineStr">
        <is>
          <t>✅ Done</t>
        </is>
      </c>
      <c r="F125" s="68" t="inlineStr">
        <is>
          <t>OSSScorer.create_proprietary_additions() — Risk_Heat_Mapping DataFrame</t>
        </is>
      </c>
      <c r="G125" s="68" t="inlineStr">
        <is>
          <t>oss_scorer.py</t>
        </is>
      </c>
      <c r="H125" s="68" t="n"/>
    </row>
    <row r="126" ht="39.75" customHeight="1" s="49">
      <c r="A126" s="68" t="inlineStr">
        <is>
          <t>OPG-125</t>
        </is>
      </c>
      <c r="B126" s="68" t="inlineStr">
        <is>
          <t>WS12 Visualization &amp; Jupyter</t>
        </is>
      </c>
      <c r="C126" s="68" t="inlineStr">
        <is>
          <t>Geopolitical risk matrix table</t>
        </is>
      </c>
      <c r="D126" s="71" t="inlineStr">
        <is>
          <t>P1</t>
        </is>
      </c>
      <c r="E126" s="70" t="inlineStr">
        <is>
          <t>✅ Done</t>
        </is>
      </c>
      <c r="F126" s="68" t="inlineStr">
        <is>
          <t>Geopolitical_Risk_Matrix DataFrame in proprietary additions</t>
        </is>
      </c>
      <c r="G126" s="68" t="inlineStr">
        <is>
          <t>oss_scorer.py</t>
        </is>
      </c>
      <c r="H126" s="68" t="n"/>
    </row>
    <row r="127" ht="39.75" customHeight="1" s="49">
      <c r="A127" s="68" t="inlineStr">
        <is>
          <t>OPG-126</t>
        </is>
      </c>
      <c r="B127" s="68" t="inlineStr">
        <is>
          <t>WS12 Visualization &amp; Jupyter</t>
        </is>
      </c>
      <c r="C127" s="68" t="inlineStr">
        <is>
          <t>Interactive criticality dropdown</t>
        </is>
      </c>
      <c r="D127" s="71" t="inlineStr">
        <is>
          <t>P1</t>
        </is>
      </c>
      <c r="E127" s="70" t="inlineStr">
        <is>
          <t>✅ Done</t>
        </is>
      </c>
      <c r="F127" s="68" t="inlineStr">
        <is>
          <t>OSSVisualizer.interactive_selector() via Jupyter/ipywidgets</t>
        </is>
      </c>
      <c r="G127" s="68" t="inlineStr">
        <is>
          <t>oss_scorer.py</t>
        </is>
      </c>
      <c r="H127" s="68" t="n"/>
    </row>
    <row r="128" ht="39.75" customHeight="1" s="49">
      <c r="A128" s="68" t="inlineStr">
        <is>
          <t>OPG-127</t>
        </is>
      </c>
      <c r="B128" s="68" t="inlineStr">
        <is>
          <t>WS12 Visualization &amp; Jupyter</t>
        </is>
      </c>
      <c r="C128" s="68" t="inlineStr">
        <is>
          <t>Test-safe dashboard rendering</t>
        </is>
      </c>
      <c r="D128" s="71" t="inlineStr">
        <is>
          <t>P1</t>
        </is>
      </c>
      <c r="E128" s="70" t="inlineStr">
        <is>
          <t>✅ Done</t>
        </is>
      </c>
      <c r="F128" s="68" t="inlineStr">
        <is>
          <t>show=False mode suppresses plt.show() in non-interactive environments</t>
        </is>
      </c>
      <c r="G128" s="68" t="inlineStr">
        <is>
          <t>oss_scorer.py</t>
        </is>
      </c>
      <c r="H128" s="68" t="n"/>
    </row>
    <row r="129" ht="39.75" customHeight="1" s="49">
      <c r="A129" s="68" t="inlineStr">
        <is>
          <t>OPG-128</t>
        </is>
      </c>
      <c r="B129" s="68" t="inlineStr">
        <is>
          <t>WS12 Visualization &amp; Jupyter</t>
        </is>
      </c>
      <c r="C129" s="68" t="inlineStr">
        <is>
          <t>Standalone CLI interface</t>
        </is>
      </c>
      <c r="D129" s="69" t="inlineStr">
        <is>
          <t>P0</t>
        </is>
      </c>
      <c r="E129" s="70" t="inlineStr">
        <is>
          <t>✅ Done</t>
        </is>
      </c>
      <c r="F129" s="68" t="inlineStr">
        <is>
          <t>src/osspolicyguard/cli.py — multi-command CLI with --format option</t>
        </is>
      </c>
      <c r="G129" s="68" t="inlineStr">
        <is>
          <t>src/osspolicyguard/cli.py</t>
        </is>
      </c>
      <c r="H129" s="68" t="n"/>
    </row>
    <row r="130" ht="39.75" customHeight="1" s="49">
      <c r="A130" s="68" t="inlineStr">
        <is>
          <t>OPG-129</t>
        </is>
      </c>
      <c r="B130" s="68" t="inlineStr">
        <is>
          <t>WS12 Visualization &amp; Jupyter</t>
        </is>
      </c>
      <c r="C130" s="68" t="inlineStr">
        <is>
          <t>HTML / PDF report export</t>
        </is>
      </c>
      <c r="D130" s="71" t="inlineStr">
        <is>
          <t>P1</t>
        </is>
      </c>
      <c r="E130" s="73" t="inlineStr">
        <is>
          <t>❌ Not Started</t>
        </is>
      </c>
      <c r="F130" s="68" t="inlineStr">
        <is>
          <t>Future roadmap — export to HTML/PDF from evaluation results</t>
        </is>
      </c>
      <c r="G130" s="68" t="n"/>
      <c r="H130" s="68" t="inlineStr">
        <is>
          <t>OPG-137 ref</t>
        </is>
      </c>
    </row>
    <row r="131" ht="39.75" customHeight="1" s="49">
      <c r="A131" s="68" t="inlineStr">
        <is>
          <t>OPG-130</t>
        </is>
      </c>
      <c r="B131" s="68" t="inlineStr">
        <is>
          <t>WS13 CLI &amp; Reporting</t>
        </is>
      </c>
      <c r="C131" s="68" t="inlineStr">
        <is>
          <t>SARIF 2.1.0 output format</t>
        </is>
      </c>
      <c r="D131" s="69" t="inlineStr">
        <is>
          <t>P0</t>
        </is>
      </c>
      <c r="E131" s="70" t="inlineStr">
        <is>
          <t>✅ Done</t>
        </is>
      </c>
      <c r="F131" s="68" t="inlineStr">
        <is>
          <t>to_sarif() in reports.py — standard security finding format with rule objects</t>
        </is>
      </c>
      <c r="G131" s="68" t="inlineStr">
        <is>
          <t>src/osspolicyguard/reports.py</t>
        </is>
      </c>
      <c r="H131" s="68" t="n"/>
    </row>
    <row r="132" ht="39.75" customHeight="1" s="49">
      <c r="A132" s="68" t="inlineStr">
        <is>
          <t>OPG-131</t>
        </is>
      </c>
      <c r="B132" s="68" t="inlineStr">
        <is>
          <t>WS13 CLI &amp; Reporting</t>
        </is>
      </c>
      <c r="C132" s="68" t="inlineStr">
        <is>
          <t>Markdown PR comment format</t>
        </is>
      </c>
      <c r="D132" s="69" t="inlineStr">
        <is>
          <t>P0</t>
        </is>
      </c>
      <c r="E132" s="70" t="inlineStr">
        <is>
          <t>✅ Done</t>
        </is>
      </c>
      <c r="F132" s="68" t="inlineStr">
        <is>
          <t>to_markdown_pr() — bounded PR comment with decision badge and findings table</t>
        </is>
      </c>
      <c r="G132" s="68" t="inlineStr">
        <is>
          <t>src/osspolicyguard/reports.py</t>
        </is>
      </c>
      <c r="H132" s="68" t="n"/>
    </row>
    <row r="133" ht="39.75" customHeight="1" s="49">
      <c r="A133" s="68" t="inlineStr">
        <is>
          <t>OPG-132</t>
        </is>
      </c>
      <c r="B133" s="68" t="inlineStr">
        <is>
          <t>WS13 CLI &amp; Reporting</t>
        </is>
      </c>
      <c r="C133" s="68" t="inlineStr">
        <is>
          <t>JSON Schema config validation</t>
        </is>
      </c>
      <c r="D133" s="69" t="inlineStr">
        <is>
          <t>P0</t>
        </is>
      </c>
      <c r="E133" s="70" t="inlineStr">
        <is>
          <t>✅ Done</t>
        </is>
      </c>
      <c r="F133" s="68" t="inlineStr">
        <is>
          <t>config.schema.json draft 2020-12; additionalProperties: false at top level</t>
        </is>
      </c>
      <c r="G133" s="68" t="inlineStr">
        <is>
          <t>config.schema.json</t>
        </is>
      </c>
      <c r="H133" s="68" t="n"/>
    </row>
    <row r="134" ht="39.75" customHeight="1" s="49">
      <c r="A134" s="68" t="inlineStr">
        <is>
          <t>OPG-133</t>
        </is>
      </c>
      <c r="B134" s="68" t="inlineStr">
        <is>
          <t>WS14 License Compliance</t>
        </is>
      </c>
      <c r="C134" s="68" t="inlineStr">
        <is>
          <t>SPDX license detection</t>
        </is>
      </c>
      <c r="D134" s="69" t="inlineStr">
        <is>
          <t>P0</t>
        </is>
      </c>
      <c r="E134" s="73" t="inlineStr">
        <is>
          <t>❌ Not Started</t>
        </is>
      </c>
      <c r="F134" s="68" t="inlineStr">
        <is>
          <t>Identify declared license from registry metadata and package files; parse SPDX expressions; store canonical SPDX identifier per package</t>
        </is>
      </c>
      <c r="G134" s="68" t="n"/>
      <c r="H134" s="68" t="inlineStr">
        <is>
          <t>New OPG-133</t>
        </is>
      </c>
    </row>
    <row r="135" ht="39.75" customHeight="1" s="49">
      <c r="A135" s="68" t="inlineStr">
        <is>
          <t>OPG-134</t>
        </is>
      </c>
      <c r="B135" s="68" t="inlineStr">
        <is>
          <t>WS14 License Compliance</t>
        </is>
      </c>
      <c r="C135" s="68" t="inlineStr">
        <is>
          <t>Copyleft propagation analysis</t>
        </is>
      </c>
      <c r="D135" s="69" t="inlineStr">
        <is>
          <t>P0</t>
        </is>
      </c>
      <c r="E135" s="73" t="inlineStr">
        <is>
          <t>❌ Not Started</t>
        </is>
      </c>
      <c r="F135" s="68" t="inlineStr">
        <is>
          <t>Flag GPL-2/3, LGPL, AGPL, MPL, EPL; determine strong/weak copyleft applicability based on link type</t>
        </is>
      </c>
      <c r="G135" s="68" t="n"/>
      <c r="H135" s="68" t="inlineStr">
        <is>
          <t>New OPG-134</t>
        </is>
      </c>
    </row>
    <row r="136" ht="39.75" customHeight="1" s="49">
      <c r="A136" s="68" t="inlineStr">
        <is>
          <t>OPG-135</t>
        </is>
      </c>
      <c r="B136" s="68" t="inlineStr">
        <is>
          <t>WS14 License Compliance</t>
        </is>
      </c>
      <c r="C136" s="68" t="inlineStr">
        <is>
          <t>License compatibility matrix</t>
        </is>
      </c>
      <c r="D136" s="71" t="inlineStr">
        <is>
          <t>P1</t>
        </is>
      </c>
      <c r="E136" s="73" t="inlineStr">
        <is>
          <t>❌ Not Started</t>
        </is>
      </c>
      <c r="F136" s="68" t="inlineStr">
        <is>
          <t>Configurable compatibility matrix; flag incompatible combinations in dependency graph; custom allow/deny rules</t>
        </is>
      </c>
      <c r="G136" s="68" t="n"/>
      <c r="H136" s="68" t="inlineStr">
        <is>
          <t>New OPG-135</t>
        </is>
      </c>
    </row>
    <row r="137" ht="39.75" customHeight="1" s="49">
      <c r="A137" s="68" t="inlineStr">
        <is>
          <t>OPG-136</t>
        </is>
      </c>
      <c r="B137" s="68" t="inlineStr">
        <is>
          <t>WS14 License Compliance</t>
        </is>
      </c>
      <c r="C137" s="68" t="inlineStr">
        <is>
          <t>Dual-license and commercial restriction detection</t>
        </is>
      </c>
      <c r="D137" s="71" t="inlineStr">
        <is>
          <t>P1</t>
        </is>
      </c>
      <c r="E137" s="73" t="inlineStr">
        <is>
          <t>❌ Not Started</t>
        </is>
      </c>
      <c r="F137" s="68" t="inlineStr">
        <is>
          <t>Detect dual-licensed packages with commercial fees or non-commercial-use clauses; surface as REVIEW finding</t>
        </is>
      </c>
      <c r="G137" s="68" t="n"/>
      <c r="H137" s="68" t="inlineStr">
        <is>
          <t>New OPG-136</t>
        </is>
      </c>
    </row>
    <row r="138" ht="39.75" customHeight="1" s="49">
      <c r="A138" s="68" t="inlineStr">
        <is>
          <t>OPG-137</t>
        </is>
      </c>
      <c r="B138" s="68" t="inlineStr">
        <is>
          <t>WS14 License Compliance</t>
        </is>
      </c>
      <c r="C138" s="68" t="inlineStr">
        <is>
          <t>License compliance report generation</t>
        </is>
      </c>
      <c r="D138" s="71" t="inlineStr">
        <is>
          <t>P1</t>
        </is>
      </c>
      <c r="E138" s="73" t="inlineStr">
        <is>
          <t>❌ Not Started</t>
        </is>
      </c>
      <c r="F138" s="68" t="inlineStr">
        <is>
          <t>Machine-readable report per component: license, compatibility verdict, applicable policy rule; JSON and Markdown outputs</t>
        </is>
      </c>
      <c r="G138" s="68" t="n"/>
      <c r="H138" s="68" t="inlineStr">
        <is>
          <t>New OPG-137</t>
        </is>
      </c>
    </row>
    <row r="139" ht="39.75" customHeight="1" s="49">
      <c r="A139" s="68" t="inlineStr">
        <is>
          <t>OPG-138</t>
        </is>
      </c>
      <c r="B139" s="68" t="inlineStr">
        <is>
          <t>WS14 License Compliance</t>
        </is>
      </c>
      <c r="C139" s="68" t="inlineStr">
        <is>
          <t>Attribution / NOTICE file generation</t>
        </is>
      </c>
      <c r="D139" s="71" t="inlineStr">
        <is>
          <t>P1</t>
        </is>
      </c>
      <c r="E139" s="73" t="inlineStr">
        <is>
          <t>❌ Not Started</t>
        </is>
      </c>
      <c r="F139" s="68" t="inlineStr">
        <is>
          <t>Aggregate copyright notices and license texts for all direct and transitive dependencies; suitable for distribution bundles</t>
        </is>
      </c>
      <c r="G139" s="68" t="n"/>
      <c r="H139" s="68" t="inlineStr">
        <is>
          <t>New OPG-138</t>
        </is>
      </c>
    </row>
    <row r="140" ht="39.75" customHeight="1" s="49">
      <c r="A140" s="68" t="inlineStr">
        <is>
          <t>OPG-139</t>
        </is>
      </c>
      <c r="B140" s="68" t="inlineStr">
        <is>
          <t>WS15 Dependency Management Extended</t>
        </is>
      </c>
      <c r="C140" s="68" t="inlineStr">
        <is>
          <t>Dependency pinning policy enforcement</t>
        </is>
      </c>
      <c r="D140" s="69" t="inlineStr">
        <is>
          <t>P0</t>
        </is>
      </c>
      <c r="E140" s="73" t="inlineStr">
        <is>
          <t>❌ Not Started</t>
        </is>
      </c>
      <c r="F140" s="68" t="inlineStr">
        <is>
          <t>Flag manifests with floating ranges (^, ~, *, latest, &gt;x); configurable allowed range styles per ecosystem; lockfile hash-pin requirement separately configurable</t>
        </is>
      </c>
      <c r="G140" s="68" t="n"/>
      <c r="H140" s="68" t="inlineStr">
        <is>
          <t>New OPG-139</t>
        </is>
      </c>
    </row>
    <row r="141" ht="39.75" customHeight="1" s="49">
      <c r="A141" s="68" t="inlineStr">
        <is>
          <t>OPG-140</t>
        </is>
      </c>
      <c r="B141" s="68" t="inlineStr">
        <is>
          <t>WS15 Dependency Management Extended</t>
        </is>
      </c>
      <c r="C141" s="68" t="inlineStr">
        <is>
          <t>End-of-life and deprecation tracking</t>
        </is>
      </c>
      <c r="D141" s="69" t="inlineStr">
        <is>
          <t>P0</t>
        </is>
      </c>
      <c r="E141" s="73" t="inlineStr">
        <is>
          <t>❌ Not Started</t>
        </is>
      </c>
      <c r="F141" s="68" t="inlineStr">
        <is>
          <t>Ingest official EOL dates from registry deprecation flags, endoflife.date API, and language-runtime schedules; surface as distinct REVIEW/PROHIBITED finding with exact EOL date</t>
        </is>
      </c>
      <c r="G141" s="68" t="n"/>
      <c r="H141" s="68" t="inlineStr">
        <is>
          <t>New OPG-140</t>
        </is>
      </c>
    </row>
    <row r="142" ht="39.75" customHeight="1" s="49">
      <c r="A142" s="68" t="inlineStr">
        <is>
          <t>OPG-141</t>
        </is>
      </c>
      <c r="B142" s="68" t="inlineStr">
        <is>
          <t>WS16 Evidence Providers Extended</t>
        </is>
      </c>
      <c r="C142" s="68" t="inlineStr">
        <is>
          <t>Private registry provider</t>
        </is>
      </c>
      <c r="D142" s="71" t="inlineStr">
        <is>
          <t>P1</t>
        </is>
      </c>
      <c r="E142" s="73" t="inlineStr">
        <is>
          <t>❌ Not Started</t>
        </is>
      </c>
      <c r="F142" s="68" t="inlineStr">
        <is>
          <t>Support JFrog Artifactory, Sonatype Nexus, GitHub Packages, AWS CodeArtifact, Azure Artifacts, Google Artifact Registry; credentials never hard-coded</t>
        </is>
      </c>
      <c r="G142" s="68" t="n"/>
      <c r="H142" s="68" t="inlineStr">
        <is>
          <t>New OPG-141</t>
        </is>
      </c>
    </row>
    <row r="143" ht="39.75" customHeight="1" s="49">
      <c r="A143" s="68" t="inlineStr">
        <is>
          <t>OPG-142</t>
        </is>
      </c>
      <c r="B143" s="68" t="inlineStr">
        <is>
          <t>WS16 Evidence Providers Extended</t>
        </is>
      </c>
      <c r="C143" s="68" t="inlineStr">
        <is>
          <t>Real-time new-version alerting</t>
        </is>
      </c>
      <c r="D143" s="71" t="inlineStr">
        <is>
          <t>P1</t>
        </is>
      </c>
      <c r="E143" s="73" t="inlineStr">
        <is>
          <t>❌ Not Started</t>
        </is>
      </c>
      <c r="F143" s="68" t="inlineStr">
        <is>
          <t>Subscribe to registry publication feeds (npm hooks, PyPI RSS, crates.io); emit typed event when watched package publishes a new high-risk version</t>
        </is>
      </c>
      <c r="G143" s="68" t="n"/>
      <c r="H143" s="68" t="inlineStr">
        <is>
          <t>New OPG-142</t>
        </is>
      </c>
    </row>
    <row r="144" ht="39.75" customHeight="1" s="49">
      <c r="A144" s="68" t="inlineStr">
        <is>
          <t>OPG-143</t>
        </is>
      </c>
      <c r="B144" s="68" t="inlineStr">
        <is>
          <t>WS16 Evidence Providers Extended</t>
        </is>
      </c>
      <c r="C144" s="68" t="inlineStr">
        <is>
          <t>Maintainer account credibility scoring</t>
        </is>
      </c>
      <c r="D144" s="71" t="inlineStr">
        <is>
          <t>P1</t>
        </is>
      </c>
      <c r="E144" s="73" t="inlineStr">
        <is>
          <t>❌ Not Started</t>
        </is>
      </c>
      <c r="F144" s="68" t="inlineStr">
        <is>
          <t>Score account age, MFA status, prior release history, and organisational affiliation; separate from ownership-transfer detection</t>
        </is>
      </c>
      <c r="G144" s="68" t="n"/>
      <c r="H144" s="68" t="inlineStr">
        <is>
          <t>New OPG-143</t>
        </is>
      </c>
    </row>
    <row r="145" ht="39.75" customHeight="1" s="49">
      <c r="A145" s="68" t="inlineStr">
        <is>
          <t>OPG-144</t>
        </is>
      </c>
      <c r="B145" s="68" t="inlineStr">
        <is>
          <t>WS17 Supply Chain Defense Extended</t>
        </is>
      </c>
      <c r="C145" s="68" t="inlineStr">
        <is>
          <t>Static behavioral analysis of package source</t>
        </is>
      </c>
      <c r="D145" s="69" t="inlineStr">
        <is>
          <t>P0</t>
        </is>
      </c>
      <c r="E145" s="73" t="inlineStr">
        <is>
          <t>❌ Not Started</t>
        </is>
      </c>
      <c r="F145" s="68" t="inlineStr">
        <is>
          <t>AST-level analysis for outbound network calls, child-process spawning, filesystem writes, env-var exfiltration, dynamic evaluation; typed signal per behavior; never execute the code</t>
        </is>
      </c>
      <c r="G145" s="68" t="n"/>
      <c r="H145" s="68" t="inlineStr">
        <is>
          <t>New OPG-144</t>
        </is>
      </c>
    </row>
    <row r="146" ht="39.75" customHeight="1" s="49">
      <c r="A146" s="68" t="inlineStr">
        <is>
          <t>OPG-145</t>
        </is>
      </c>
      <c r="B146" s="68" t="inlineStr">
        <is>
          <t>WS17 Supply Chain Defense Extended</t>
        </is>
      </c>
      <c r="C146" s="68" t="inlineStr">
        <is>
          <t>Phantom dependency detection</t>
        </is>
      </c>
      <c r="D146" s="71" t="inlineStr">
        <is>
          <t>P1</t>
        </is>
      </c>
      <c r="E146" s="73" t="inlineStr">
        <is>
          <t>❌ Not Started</t>
        </is>
      </c>
      <c r="F146" s="68" t="inlineStr">
        <is>
          <t>Cross-reference static import analysis of user project against declared manifest; identify imports satisfied only by transitive or phantom packages</t>
        </is>
      </c>
      <c r="G146" s="68" t="n"/>
      <c r="H146" s="68" t="inlineStr">
        <is>
          <t>New OPG-145</t>
        </is>
      </c>
    </row>
    <row r="147" ht="39.75" customHeight="1" s="49">
      <c r="A147" s="68" t="inlineStr">
        <is>
          <t>OPG-146</t>
        </is>
      </c>
      <c r="B147" s="68" t="inlineStr">
        <is>
          <t>WS17 Supply Chain Defense Extended</t>
        </is>
      </c>
      <c r="C147" s="68" t="inlineStr">
        <is>
          <t>Source-artifact binding via reproducible builds</t>
        </is>
      </c>
      <c r="D147" s="71" t="inlineStr">
        <is>
          <t>P1</t>
        </is>
      </c>
      <c r="E147" s="73" t="inlineStr">
        <is>
          <t>❌ Not Started</t>
        </is>
      </c>
      <c r="F147" s="68" t="inlineStr">
        <is>
          <t>Rebuild from declared source revision and compare digest to published artifact; report match, mismatch, or unverifiable with evidence</t>
        </is>
      </c>
      <c r="G147" s="68" t="n"/>
      <c r="H147" s="68" t="inlineStr">
        <is>
          <t>New OPG-146</t>
        </is>
      </c>
    </row>
    <row r="148" ht="39.75" customHeight="1" s="49">
      <c r="A148" s="68" t="inlineStr">
        <is>
          <t>OPG-147</t>
        </is>
      </c>
      <c r="B148" s="68" t="inlineStr">
        <is>
          <t>WS17 Supply Chain Defense Extended</t>
        </is>
      </c>
      <c r="C148" s="68" t="inlineStr">
        <is>
          <t>Adversarial namespace squatting detection</t>
        </is>
      </c>
      <c r="D148" s="69" t="inlineStr">
        <is>
          <t>P0</t>
        </is>
      </c>
      <c r="E148" s="73" t="inlineStr">
        <is>
          <t>❌ Not Started</t>
        </is>
      </c>
      <c r="F148" s="68" t="inlineStr">
        <is>
          <t>Detect recently-registered packages (&lt;30 days) closely matching a popular package name with no prior publisher history; configurable confidence thresholds</t>
        </is>
      </c>
      <c r="G148" s="68" t="n"/>
      <c r="H148" s="68" t="inlineStr">
        <is>
          <t>New OPG-147</t>
        </is>
      </c>
    </row>
    <row r="149" ht="39.75" customHeight="1" s="49">
      <c r="A149" s="68" t="inlineStr">
        <is>
          <t>OPG-148</t>
        </is>
      </c>
      <c r="B149" s="68" t="inlineStr">
        <is>
          <t>WS18 Policy Engine Extended</t>
        </is>
      </c>
      <c r="C149" s="68" t="inlineStr">
        <is>
          <t>Cross-ecosystem vulnerability cascade modeling</t>
        </is>
      </c>
      <c r="D149" s="71" t="inlineStr">
        <is>
          <t>P1</t>
        </is>
      </c>
      <c r="E149" s="73" t="inlineStr">
        <is>
          <t>❌ Not Started</t>
        </is>
      </c>
      <c r="F149" s="68" t="inlineStr">
        <is>
          <t>Model CVE propagation from foundational C/C++ libraries (OpenSSL, zlib, libcurl) to wrapper packages across npm, PyPI, Ruby, Maven; aggregate blast-radius score; ground-truth benchmark required</t>
        </is>
      </c>
      <c r="G149" s="68" t="n"/>
      <c r="H149" s="68" t="inlineStr">
        <is>
          <t>New OPG-148 Research</t>
        </is>
      </c>
    </row>
    <row r="150" ht="39.75" customHeight="1" s="49">
      <c r="A150" s="68" t="inlineStr">
        <is>
          <t>OPG-149</t>
        </is>
      </c>
      <c r="B150" s="68" t="inlineStr">
        <is>
          <t>WS19 Outputs &amp; Integrations Extended</t>
        </is>
      </c>
      <c r="C150" s="68" t="inlineStr">
        <is>
          <t>SBOM generation for analyzed project</t>
        </is>
      </c>
      <c r="D150" s="69" t="inlineStr">
        <is>
          <t>P0</t>
        </is>
      </c>
      <c r="E150" s="73" t="inlineStr">
        <is>
          <t>❌ Not Started</t>
        </is>
      </c>
      <c r="F150" s="68" t="inlineStr">
        <is>
          <t>Produce CycloneDX 1.5 or SPDX 2.3 SBOM enriched with policy decisions, CVSS, EPSS, and license data; validate against official schema; attach to CI artifacts</t>
        </is>
      </c>
      <c r="G150" s="68" t="n"/>
      <c r="H150" s="68" t="inlineStr">
        <is>
          <t>New OPG-149</t>
        </is>
      </c>
    </row>
    <row r="151" ht="39.75" customHeight="1" s="49">
      <c r="A151" s="68" t="inlineStr">
        <is>
          <t>OPG-150</t>
        </is>
      </c>
      <c r="B151" s="68" t="inlineStr">
        <is>
          <t>WS19 Outputs &amp; Integrations Extended</t>
        </is>
      </c>
      <c r="C151" s="68" t="inlineStr">
        <is>
          <t>Automated fix pull-request creation</t>
        </is>
      </c>
      <c r="D151" s="71" t="inlineStr">
        <is>
          <t>P1</t>
        </is>
      </c>
      <c r="E151" s="73" t="inlineStr">
        <is>
          <t>❌ Not Started</t>
        </is>
      </c>
      <c r="F151" s="68" t="inlineStr">
        <is>
          <t>When safe upgrade identified and token configured, open dependency-update PR modifying manifest and lock file; PR body includes risk reduction summary</t>
        </is>
      </c>
      <c r="G151" s="68" t="n"/>
      <c r="H151" s="68" t="inlineStr">
        <is>
          <t>New OPG-150</t>
        </is>
      </c>
    </row>
    <row r="152" ht="39.75" customHeight="1" s="49">
      <c r="A152" s="68" t="inlineStr">
        <is>
          <t>OPG-151</t>
        </is>
      </c>
      <c r="B152" s="68" t="inlineStr">
        <is>
          <t>WS19 Outputs &amp; Integrations Extended</t>
        </is>
      </c>
      <c r="C152" s="68" t="inlineStr">
        <is>
          <t>Container image and OS-package scanning</t>
        </is>
      </c>
      <c r="D152" s="71" t="inlineStr">
        <is>
          <t>P1</t>
        </is>
      </c>
      <c r="E152" s="73" t="inlineStr">
        <is>
          <t>❌ Not Started</t>
        </is>
      </c>
      <c r="F152" s="68" t="inlineStr">
        <is>
          <t>Accept container image reference or OCI tarball; extract OS package database (dpkg/rpm/apk); scan through same evidence providers and policy engine; unified findings</t>
        </is>
      </c>
      <c r="G152" s="68" t="n"/>
      <c r="H152" s="68" t="inlineStr">
        <is>
          <t>New OPG-151</t>
        </is>
      </c>
    </row>
    <row r="153" ht="39.75" customHeight="1" s="49">
      <c r="A153" s="68" t="inlineStr">
        <is>
          <t>OPG-152</t>
        </is>
      </c>
      <c r="B153" s="68" t="inlineStr">
        <is>
          <t>WS19 Outputs &amp; Integrations Extended</t>
        </is>
      </c>
      <c r="C153" s="68" t="inlineStr">
        <is>
          <t>Package proxy / registry firewall mode</t>
        </is>
      </c>
      <c r="D153" s="71" t="inlineStr">
        <is>
          <t>P1</t>
        </is>
      </c>
      <c r="E153" s="73" t="inlineStr">
        <is>
          <t>❌ Not Started</t>
        </is>
      </c>
      <c r="F153" s="68" t="inlineStr">
        <is>
          <t>Operate as HTTPS proxy in front of public registry; evaluate policy before package enters build environment; block PROHIBITED packages; log all interceptions</t>
        </is>
      </c>
      <c r="G153" s="68" t="n"/>
      <c r="H153" s="68" t="inlineStr">
        <is>
          <t>New OPG-152</t>
        </is>
      </c>
    </row>
    <row r="154" ht="39.75" customHeight="1" s="49">
      <c r="A154" s="68" t="inlineStr">
        <is>
          <t>OPG-153</t>
        </is>
      </c>
      <c r="B154" s="68" t="inlineStr">
        <is>
          <t>WS20 Quality &amp; Compliance</t>
        </is>
      </c>
      <c r="C154" s="68" t="inlineStr">
        <is>
          <t>Compliance evidence packaging</t>
        </is>
      </c>
      <c r="D154" s="71" t="inlineStr">
        <is>
          <t>P1</t>
        </is>
      </c>
      <c r="E154" s="73" t="inlineStr">
        <is>
          <t>❌ Not Started</t>
        </is>
      </c>
      <c r="F154" s="68" t="inlineStr">
        <is>
          <t>Exportable evidence bundles for SOC 2 Type II, FedRAMP, PCI-DSS; machine-readable JSON + Markdown; includes scan date, policy digest, findings, remediation status</t>
        </is>
      </c>
      <c r="G154" s="68" t="n"/>
      <c r="H154" s="68" t="inlineStr">
        <is>
          <t>New OPG-153</t>
        </is>
      </c>
    </row>
    <row r="155" ht="39.75" customHeight="1" s="49">
      <c r="A155" s="68" t="inlineStr">
        <is>
          <t>OPG-154</t>
        </is>
      </c>
      <c r="B155" s="68" t="inlineStr">
        <is>
          <t>WS21 Research</t>
        </is>
      </c>
      <c r="C155" s="68" t="inlineStr">
        <is>
          <t>LLM-assisted malicious pattern recognition</t>
        </is>
      </c>
      <c r="D155" s="72" t="inlineStr">
        <is>
          <t>P2</t>
        </is>
      </c>
      <c r="E155" s="73" t="inlineStr">
        <is>
          <t>❌ Not Started</t>
        </is>
      </c>
      <c r="F155" s="68" t="inlineStr">
        <is>
          <t>Language model generates explanations for suspicious behaviors not covered by rule-based signals; calibrate against ground-truth corpus; publish precision/recall; no auto-enforcement without human review</t>
        </is>
      </c>
      <c r="G155" s="68" t="n"/>
      <c r="H155" s="68" t="inlineStr">
        <is>
          <t>New OPG-154 Research</t>
        </is>
      </c>
    </row>
    <row r="156" ht="39.75" customHeight="1" s="49">
      <c r="A156" s="68" t="inlineStr">
        <is>
          <t>OPG-155</t>
        </is>
      </c>
      <c r="B156" s="68" t="inlineStr">
        <is>
          <t>WS21 Research</t>
        </is>
      </c>
      <c r="C156" s="68" t="inlineStr">
        <is>
          <t>Runtime dependency inventory via instrumentation</t>
        </is>
      </c>
      <c r="D156" s="72" t="inlineStr">
        <is>
          <t>P2</t>
        </is>
      </c>
      <c r="E156" s="73" t="inlineStr">
        <is>
          <t>❌ Not Started</t>
        </is>
      </c>
      <c r="F156" s="68" t="inlineStr">
        <is>
          <t>Discover packages loaded in running Python or Node.js process via import hooks or eBPF tracing; compare runtime inventory to manifest; surface undeclared dependencies</t>
        </is>
      </c>
      <c r="G156" s="68" t="n"/>
      <c r="H156" s="68" t="inlineStr">
        <is>
          <t>New OPG-155 Research</t>
        </is>
      </c>
    </row>
    <row r="157" ht="39.75" customHeight="1" s="49">
      <c r="A157" s="68" t="inlineStr">
        <is>
          <t>OPG-156</t>
        </is>
      </c>
      <c r="B157" s="68" t="inlineStr">
        <is>
          <t>WS21 Research</t>
        </is>
      </c>
      <c r="C157" s="68" t="inlineStr">
        <is>
          <t>IaC deployment context enrichment</t>
        </is>
      </c>
      <c r="D157" s="71" t="inlineStr">
        <is>
          <t>P1</t>
        </is>
      </c>
      <c r="E157" s="73" t="inlineStr">
        <is>
          <t>❌ Not Started</t>
        </is>
      </c>
      <c r="F157" s="68" t="inlineStr">
        <is>
          <t>Parse Terraform, Helm, Kubernetes manifests to determine deployment exposure (internet-facing, internal, batch-only); pass context to blast-radius model for environment-adjusted risk scores</t>
        </is>
      </c>
      <c r="G157" s="68" t="n"/>
      <c r="H157" s="68" t="inlineStr">
        <is>
          <t>New OPG-156 Research</t>
        </is>
      </c>
    </row>
    <row r="158" ht="39.75" customHeight="1" s="49">
      <c r="A158" s="68" t="inlineStr">
        <is>
          <t>OPG-157</t>
        </is>
      </c>
      <c r="B158" s="68" t="inlineStr">
        <is>
          <t>WS21 Research</t>
        </is>
      </c>
      <c r="C158" s="68" t="inlineStr">
        <is>
          <t>Hierarchical team-scoped catalog with delegated administration</t>
        </is>
      </c>
      <c r="D158" s="71" t="inlineStr">
        <is>
          <t>P1</t>
        </is>
      </c>
      <c r="E158" s="73" t="inlineStr">
        <is>
          <t>❌ Not Started</t>
        </is>
      </c>
      <c r="F158" s="68" t="inlineStr">
        <is>
          <t>BU security teams approve packages within enterprise policy envelope; application teams create scoped exceptions with rollup reporting; revocation cascades downward; all delegation actions in audit log</t>
        </is>
      </c>
      <c r="G158" s="68" t="n"/>
      <c r="H158" s="68" t="inlineStr">
        <is>
          <t>New OPG-157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8" customWidth="1" style="48" min="1" max="1"/>
    <col width="14" customWidth="1" style="48" min="2" max="2"/>
    <col width="12" customWidth="1" style="48" min="3" max="3"/>
    <col width="14" customWidth="1" style="48" min="4" max="4"/>
    <col width="16" customWidth="1" style="48" min="5" max="5"/>
    <col width="14" customWidth="1" style="48" min="6" max="6"/>
  </cols>
  <sheetData>
    <row r="1" ht="27.75" customHeight="1" s="49">
      <c r="A1" s="67" t="inlineStr">
        <is>
          <t>Workstream</t>
        </is>
      </c>
      <c r="B1" s="67" t="inlineStr">
        <is>
          <t>Total Reqs</t>
        </is>
      </c>
      <c r="C1" s="67" t="inlineStr">
        <is>
          <t>Done</t>
        </is>
      </c>
      <c r="D1" s="67" t="inlineStr">
        <is>
          <t>In Progress</t>
        </is>
      </c>
      <c r="E1" s="67" t="inlineStr">
        <is>
          <t>Not Started</t>
        </is>
      </c>
      <c r="F1" s="67" t="inlineStr">
        <is>
          <t>% Complete</t>
        </is>
      </c>
    </row>
    <row r="2" ht="21.75" customHeight="1" s="49">
      <c r="A2" s="74" t="inlineStr">
        <is>
          <t>WS01 System Architecture</t>
        </is>
      </c>
      <c r="B2" s="75">
        <f>COUNTIF(Requirements!$B:$B,A2)</f>
        <v/>
      </c>
      <c r="C2" s="76">
        <f>COUNTIFS(Requirements!$B:$B,A2,Requirements!$E:$E,"✅ Done")</f>
        <v/>
      </c>
      <c r="D2" s="77">
        <f>COUNTIFS(Requirements!$B:$B,A2,Requirements!$E:$E,"🔄 In Progress")</f>
        <v/>
      </c>
      <c r="E2" s="78">
        <f>COUNTIFS(Requirements!$B:$B,A2,Requirements!$E:$E,"❌ Not Started")</f>
        <v/>
      </c>
      <c r="F2" s="79">
        <f>IFERROR(C2/B2,0)</f>
        <v/>
      </c>
    </row>
    <row r="3" ht="21.75" customHeight="1" s="49">
      <c r="A3" s="74" t="inlineStr">
        <is>
          <t>WS02 Configuration Management</t>
        </is>
      </c>
      <c r="B3" s="75">
        <f>COUNTIF(Requirements!$B:$B,A3)</f>
        <v/>
      </c>
      <c r="C3" s="76">
        <f>COUNTIFS(Requirements!$B:$B,A3,Requirements!$E:$E,"✅ Done")</f>
        <v/>
      </c>
      <c r="D3" s="77">
        <f>COUNTIFS(Requirements!$B:$B,A3,Requirements!$E:$E,"🔄 In Progress")</f>
        <v/>
      </c>
      <c r="E3" s="78">
        <f>COUNTIFS(Requirements!$B:$B,A3,Requirements!$E:$E,"❌ Not Started")</f>
        <v/>
      </c>
      <c r="F3" s="79">
        <f>IFERROR(C3/B3,0)</f>
        <v/>
      </c>
    </row>
    <row r="4" ht="21.75" customHeight="1" s="49">
      <c r="A4" s="74" t="inlineStr">
        <is>
          <t>WS03 Provider Infrastructure</t>
        </is>
      </c>
      <c r="B4" s="75">
        <f>COUNTIF(Requirements!$B:$B,A4)</f>
        <v/>
      </c>
      <c r="C4" s="76">
        <f>COUNTIFS(Requirements!$B:$B,A4,Requirements!$E:$E,"✅ Done")</f>
        <v/>
      </c>
      <c r="D4" s="77">
        <f>COUNTIFS(Requirements!$B:$B,A4,Requirements!$E:$E,"🔄 In Progress")</f>
        <v/>
      </c>
      <c r="E4" s="78">
        <f>COUNTIFS(Requirements!$B:$B,A4,Requirements!$E:$E,"❌ Not Started")</f>
        <v/>
      </c>
      <c r="F4" s="79">
        <f>IFERROR(C4/B4,0)</f>
        <v/>
      </c>
    </row>
    <row r="5" ht="21.75" customHeight="1" s="49">
      <c r="A5" s="74" t="inlineStr">
        <is>
          <t>WS04 GitHub Integration</t>
        </is>
      </c>
      <c r="B5" s="75">
        <f>COUNTIF(Requirements!$B:$B,A5)</f>
        <v/>
      </c>
      <c r="C5" s="76">
        <f>COUNTIFS(Requirements!$B:$B,A5,Requirements!$E:$E,"✅ Done")</f>
        <v/>
      </c>
      <c r="D5" s="77">
        <f>COUNTIFS(Requirements!$B:$B,A5,Requirements!$E:$E,"🔄 In Progress")</f>
        <v/>
      </c>
      <c r="E5" s="78">
        <f>COUNTIFS(Requirements!$B:$B,A5,Requirements!$E:$E,"❌ Not Started")</f>
        <v/>
      </c>
      <c r="F5" s="79">
        <f>IFERROR(C5/B5,0)</f>
        <v/>
      </c>
    </row>
    <row r="6" ht="21.75" customHeight="1" s="49">
      <c r="A6" s="74" t="inlineStr">
        <is>
          <t>WS05 CVE Intelligence</t>
        </is>
      </c>
      <c r="B6" s="75">
        <f>COUNTIF(Requirements!$B:$B,A6)</f>
        <v/>
      </c>
      <c r="C6" s="76">
        <f>COUNTIFS(Requirements!$B:$B,A6,Requirements!$E:$E,"✅ Done")</f>
        <v/>
      </c>
      <c r="D6" s="77">
        <f>COUNTIFS(Requirements!$B:$B,A6,Requirements!$E:$E,"🔄 In Progress")</f>
        <v/>
      </c>
      <c r="E6" s="78">
        <f>COUNTIFS(Requirements!$B:$B,A6,Requirements!$E:$E,"❌ Not Started")</f>
        <v/>
      </c>
      <c r="F6" s="79">
        <f>IFERROR(C6/B6,0)</f>
        <v/>
      </c>
    </row>
    <row r="7" ht="21.75" customHeight="1" s="49">
      <c r="A7" s="74" t="inlineStr">
        <is>
          <t>WS06 OSV &amp; Malicious Detection</t>
        </is>
      </c>
      <c r="B7" s="75">
        <f>COUNTIF(Requirements!$B:$B,A7)</f>
        <v/>
      </c>
      <c r="C7" s="76">
        <f>COUNTIFS(Requirements!$B:$B,A7,Requirements!$E:$E,"✅ Done")</f>
        <v/>
      </c>
      <c r="D7" s="77">
        <f>COUNTIFS(Requirements!$B:$B,A7,Requirements!$E:$E,"🔄 In Progress")</f>
        <v/>
      </c>
      <c r="E7" s="78">
        <f>COUNTIFS(Requirements!$B:$B,A7,Requirements!$E:$E,"❌ Not Started")</f>
        <v/>
      </c>
      <c r="F7" s="79">
        <f>IFERROR(C7/B7,0)</f>
        <v/>
      </c>
    </row>
    <row r="8" ht="21.75" customHeight="1" s="49">
      <c r="A8" s="74" t="inlineStr">
        <is>
          <t>WS07 Package Registry Downloads</t>
        </is>
      </c>
      <c r="B8" s="75">
        <f>COUNTIF(Requirements!$B:$B,A8)</f>
        <v/>
      </c>
      <c r="C8" s="76">
        <f>COUNTIFS(Requirements!$B:$B,A8,Requirements!$E:$E,"✅ Done")</f>
        <v/>
      </c>
      <c r="D8" s="77">
        <f>COUNTIFS(Requirements!$B:$B,A8,Requirements!$E:$E,"🔄 In Progress")</f>
        <v/>
      </c>
      <c r="E8" s="78">
        <f>COUNTIFS(Requirements!$B:$B,A8,Requirements!$E:$E,"❌ Not Started")</f>
        <v/>
      </c>
      <c r="F8" s="79">
        <f>IFERROR(C8/B8,0)</f>
        <v/>
      </c>
    </row>
    <row r="9" ht="21.75" customHeight="1" s="49">
      <c r="A9" s="74" t="inlineStr">
        <is>
          <t>WS08 OpenSSF Scorecard</t>
        </is>
      </c>
      <c r="B9" s="75">
        <f>COUNTIF(Requirements!$B:$B,A9)</f>
        <v/>
      </c>
      <c r="C9" s="76">
        <f>COUNTIFS(Requirements!$B:$B,A9,Requirements!$E:$E,"✅ Done")</f>
        <v/>
      </c>
      <c r="D9" s="77">
        <f>COUNTIFS(Requirements!$B:$B,A9,Requirements!$E:$E,"🔄 In Progress")</f>
        <v/>
      </c>
      <c r="E9" s="78">
        <f>COUNTIFS(Requirements!$B:$B,A9,Requirements!$E:$E,"❌ Not Started")</f>
        <v/>
      </c>
      <c r="F9" s="79">
        <f>IFERROR(C9/B9,0)</f>
        <v/>
      </c>
    </row>
    <row r="10" ht="21.75" customHeight="1" s="49">
      <c r="A10" s="74" t="inlineStr">
        <is>
          <t>WS09 Contributor Geolocation</t>
        </is>
      </c>
      <c r="B10" s="75">
        <f>COUNTIF(Requirements!$B:$B,A10)</f>
        <v/>
      </c>
      <c r="C10" s="76">
        <f>COUNTIFS(Requirements!$B:$B,A10,Requirements!$E:$E,"✅ Done")</f>
        <v/>
      </c>
      <c r="D10" s="77">
        <f>COUNTIFS(Requirements!$B:$B,A10,Requirements!$E:$E,"🔄 In Progress")</f>
        <v/>
      </c>
      <c r="E10" s="78">
        <f>COUNTIFS(Requirements!$B:$B,A10,Requirements!$E:$E,"❌ Not Started")</f>
        <v/>
      </c>
      <c r="F10" s="79">
        <f>IFERROR(C10/B10,0)</f>
        <v/>
      </c>
    </row>
    <row r="11" ht="21.75" customHeight="1" s="49">
      <c r="A11" s="74" t="inlineStr">
        <is>
          <t>WS10 Scoring Algorithms</t>
        </is>
      </c>
      <c r="B11" s="75">
        <f>COUNTIF(Requirements!$B:$B,A11)</f>
        <v/>
      </c>
      <c r="C11" s="76">
        <f>COUNTIFS(Requirements!$B:$B,A11,Requirements!$E:$E,"✅ Done")</f>
        <v/>
      </c>
      <c r="D11" s="77">
        <f>COUNTIFS(Requirements!$B:$B,A11,Requirements!$E:$E,"🔄 In Progress")</f>
        <v/>
      </c>
      <c r="E11" s="78">
        <f>COUNTIFS(Requirements!$B:$B,A11,Requirements!$E:$E,"❌ Not Started")</f>
        <v/>
      </c>
      <c r="F11" s="79">
        <f>IFERROR(C11/B11,0)</f>
        <v/>
      </c>
    </row>
    <row r="12" ht="21.75" customHeight="1" s="49">
      <c r="A12" s="74" t="inlineStr">
        <is>
          <t>WS11 Approval &amp; Risk Logic</t>
        </is>
      </c>
      <c r="B12" s="75">
        <f>COUNTIF(Requirements!$B:$B,A12)</f>
        <v/>
      </c>
      <c r="C12" s="76">
        <f>COUNTIFS(Requirements!$B:$B,A12,Requirements!$E:$E,"✅ Done")</f>
        <v/>
      </c>
      <c r="D12" s="77">
        <f>COUNTIFS(Requirements!$B:$B,A12,Requirements!$E:$E,"🔄 In Progress")</f>
        <v/>
      </c>
      <c r="E12" s="78">
        <f>COUNTIFS(Requirements!$B:$B,A12,Requirements!$E:$E,"❌ Not Started")</f>
        <v/>
      </c>
      <c r="F12" s="79">
        <f>IFERROR(C12/B12,0)</f>
        <v/>
      </c>
    </row>
    <row r="13" ht="21.75" customHeight="1" s="49">
      <c r="A13" s="74" t="inlineStr">
        <is>
          <t>WS12 Visualization &amp; Jupyter</t>
        </is>
      </c>
      <c r="B13" s="75">
        <f>COUNTIF(Requirements!$B:$B,A13)</f>
        <v/>
      </c>
      <c r="C13" s="76">
        <f>COUNTIFS(Requirements!$B:$B,A13,Requirements!$E:$E,"✅ Done")</f>
        <v/>
      </c>
      <c r="D13" s="77">
        <f>COUNTIFS(Requirements!$B:$B,A13,Requirements!$E:$E,"🔄 In Progress")</f>
        <v/>
      </c>
      <c r="E13" s="78">
        <f>COUNTIFS(Requirements!$B:$B,A13,Requirements!$E:$E,"❌ Not Started")</f>
        <v/>
      </c>
      <c r="F13" s="79">
        <f>IFERROR(C13/B13,0)</f>
        <v/>
      </c>
    </row>
    <row r="14" ht="21.75" customHeight="1" s="49">
      <c r="A14" s="74" t="inlineStr">
        <is>
          <t>WS13 CLI &amp; Reporting</t>
        </is>
      </c>
      <c r="B14" s="75">
        <f>COUNTIF(Requirements!$B:$B,A14)</f>
        <v/>
      </c>
      <c r="C14" s="76">
        <f>COUNTIFS(Requirements!$B:$B,A14,Requirements!$E:$E,"✅ Done")</f>
        <v/>
      </c>
      <c r="D14" s="77">
        <f>COUNTIFS(Requirements!$B:$B,A14,Requirements!$E:$E,"🔄 In Progress")</f>
        <v/>
      </c>
      <c r="E14" s="78">
        <f>COUNTIFS(Requirements!$B:$B,A14,Requirements!$E:$E,"❌ Not Started")</f>
        <v/>
      </c>
      <c r="F14" s="79">
        <f>IFERROR(C14/B14,0)</f>
        <v/>
      </c>
    </row>
    <row r="15" ht="21.75" customHeight="1" s="49">
      <c r="A15" s="74" t="inlineStr">
        <is>
          <t>WS14 License Compliance</t>
        </is>
      </c>
      <c r="B15" s="75">
        <f>COUNTIF(Requirements!$B:$B,A15)</f>
        <v/>
      </c>
      <c r="C15" s="76">
        <f>COUNTIFS(Requirements!$B:$B,A15,Requirements!$E:$E,"✅ Done")</f>
        <v/>
      </c>
      <c r="D15" s="77">
        <f>COUNTIFS(Requirements!$B:$B,A15,Requirements!$E:$E,"🔄 In Progress")</f>
        <v/>
      </c>
      <c r="E15" s="78">
        <f>COUNTIFS(Requirements!$B:$B,A15,Requirements!$E:$E,"❌ Not Started")</f>
        <v/>
      </c>
      <c r="F15" s="79">
        <f>IFERROR(C15/B15,0)</f>
        <v/>
      </c>
    </row>
    <row r="16" ht="21.75" customHeight="1" s="49">
      <c r="A16" s="74" t="inlineStr">
        <is>
          <t>WS15 Dependency Management Extended</t>
        </is>
      </c>
      <c r="B16" s="75">
        <f>COUNTIF(Requirements!$B:$B,A16)</f>
        <v/>
      </c>
      <c r="C16" s="76">
        <f>COUNTIFS(Requirements!$B:$B,A16,Requirements!$E:$E,"✅ Done")</f>
        <v/>
      </c>
      <c r="D16" s="77">
        <f>COUNTIFS(Requirements!$B:$B,A16,Requirements!$E:$E,"🔄 In Progress")</f>
        <v/>
      </c>
      <c r="E16" s="78">
        <f>COUNTIFS(Requirements!$B:$B,A16,Requirements!$E:$E,"❌ Not Started")</f>
        <v/>
      </c>
      <c r="F16" s="79">
        <f>IFERROR(C16/B16,0)</f>
        <v/>
      </c>
    </row>
    <row r="17" ht="21.75" customHeight="1" s="49">
      <c r="A17" s="74" t="inlineStr">
        <is>
          <t>WS16 Evidence Providers Extended</t>
        </is>
      </c>
      <c r="B17" s="75">
        <f>COUNTIF(Requirements!$B:$B,A17)</f>
        <v/>
      </c>
      <c r="C17" s="76">
        <f>COUNTIFS(Requirements!$B:$B,A17,Requirements!$E:$E,"✅ Done")</f>
        <v/>
      </c>
      <c r="D17" s="77">
        <f>COUNTIFS(Requirements!$B:$B,A17,Requirements!$E:$E,"🔄 In Progress")</f>
        <v/>
      </c>
      <c r="E17" s="78">
        <f>COUNTIFS(Requirements!$B:$B,A17,Requirements!$E:$E,"❌ Not Started")</f>
        <v/>
      </c>
      <c r="F17" s="79">
        <f>IFERROR(C17/B17,0)</f>
        <v/>
      </c>
    </row>
    <row r="18" ht="21.75" customHeight="1" s="49">
      <c r="A18" s="74" t="inlineStr">
        <is>
          <t>WS17 Supply Chain Defense Extended</t>
        </is>
      </c>
      <c r="B18" s="75">
        <f>COUNTIF(Requirements!$B:$B,A18)</f>
        <v/>
      </c>
      <c r="C18" s="76">
        <f>COUNTIFS(Requirements!$B:$B,A18,Requirements!$E:$E,"✅ Done")</f>
        <v/>
      </c>
      <c r="D18" s="77">
        <f>COUNTIFS(Requirements!$B:$B,A18,Requirements!$E:$E,"🔄 In Progress")</f>
        <v/>
      </c>
      <c r="E18" s="78">
        <f>COUNTIFS(Requirements!$B:$B,A18,Requirements!$E:$E,"❌ Not Started")</f>
        <v/>
      </c>
      <c r="F18" s="79">
        <f>IFERROR(C18/B18,0)</f>
        <v/>
      </c>
    </row>
    <row r="19" ht="21.75" customHeight="1" s="49">
      <c r="A19" s="74" t="inlineStr">
        <is>
          <t>WS18 Policy Engine Extended</t>
        </is>
      </c>
      <c r="B19" s="75">
        <f>COUNTIF(Requirements!$B:$B,A19)</f>
        <v/>
      </c>
      <c r="C19" s="76">
        <f>COUNTIFS(Requirements!$B:$B,A19,Requirements!$E:$E,"✅ Done")</f>
        <v/>
      </c>
      <c r="D19" s="77">
        <f>COUNTIFS(Requirements!$B:$B,A19,Requirements!$E:$E,"🔄 In Progress")</f>
        <v/>
      </c>
      <c r="E19" s="78">
        <f>COUNTIFS(Requirements!$B:$B,A19,Requirements!$E:$E,"❌ Not Started")</f>
        <v/>
      </c>
      <c r="F19" s="79">
        <f>IFERROR(C19/B19,0)</f>
        <v/>
      </c>
    </row>
    <row r="20" ht="21.75" customHeight="1" s="49">
      <c r="A20" s="74" t="inlineStr">
        <is>
          <t>WS19 Outputs &amp; Integrations Extended</t>
        </is>
      </c>
      <c r="B20" s="75">
        <f>COUNTIF(Requirements!$B:$B,A20)</f>
        <v/>
      </c>
      <c r="C20" s="76">
        <f>COUNTIFS(Requirements!$B:$B,A20,Requirements!$E:$E,"✅ Done")</f>
        <v/>
      </c>
      <c r="D20" s="77">
        <f>COUNTIFS(Requirements!$B:$B,A20,Requirements!$E:$E,"🔄 In Progress")</f>
        <v/>
      </c>
      <c r="E20" s="78">
        <f>COUNTIFS(Requirements!$B:$B,A20,Requirements!$E:$E,"❌ Not Started")</f>
        <v/>
      </c>
      <c r="F20" s="79">
        <f>IFERROR(C20/B20,0)</f>
        <v/>
      </c>
    </row>
    <row r="21" ht="21.75" customHeight="1" s="49">
      <c r="A21" s="74" t="inlineStr">
        <is>
          <t>WS20 Quality &amp; Compliance</t>
        </is>
      </c>
      <c r="B21" s="75">
        <f>COUNTIF(Requirements!$B:$B,A21)</f>
        <v/>
      </c>
      <c r="C21" s="76">
        <f>COUNTIFS(Requirements!$B:$B,A21,Requirements!$E:$E,"✅ Done")</f>
        <v/>
      </c>
      <c r="D21" s="77">
        <f>COUNTIFS(Requirements!$B:$B,A21,Requirements!$E:$E,"🔄 In Progress")</f>
        <v/>
      </c>
      <c r="E21" s="78">
        <f>COUNTIFS(Requirements!$B:$B,A21,Requirements!$E:$E,"❌ Not Started")</f>
        <v/>
      </c>
      <c r="F21" s="79">
        <f>IFERROR(C21/B21,0)</f>
        <v/>
      </c>
    </row>
    <row r="22" ht="21.75" customHeight="1" s="49">
      <c r="A22" s="74" t="inlineStr">
        <is>
          <t>WS21 Research</t>
        </is>
      </c>
      <c r="B22" s="75">
        <f>COUNTIF(Requirements!$B:$B,A22)</f>
        <v/>
      </c>
      <c r="C22" s="76">
        <f>COUNTIFS(Requirements!$B:$B,A22,Requirements!$E:$E,"✅ Done")</f>
        <v/>
      </c>
      <c r="D22" s="77">
        <f>COUNTIFS(Requirements!$B:$B,A22,Requirements!$E:$E,"🔄 In Progress")</f>
        <v/>
      </c>
      <c r="E22" s="78">
        <f>COUNTIFS(Requirements!$B:$B,A22,Requirements!$E:$E,"❌ Not Started")</f>
        <v/>
      </c>
      <c r="F22" s="79">
        <f>IFERROR(C22/B22,0)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4" customWidth="1" style="48" min="1" max="1"/>
    <col width="22" customWidth="1" style="48" min="2" max="2"/>
    <col width="28" customWidth="1" style="48" min="3" max="3"/>
    <col width="22" customWidth="1" style="48" min="4" max="4"/>
    <col width="55" customWidth="1" style="48" min="5" max="5"/>
    <col width="8" customWidth="1" style="48" min="6" max="8"/>
    <col width="45" customWidth="1" style="48" min="9" max="9"/>
  </cols>
  <sheetData>
    <row r="1" ht="7.5" customHeight="1" s="49"/>
    <row r="2" ht="37.5" customHeight="1" s="49">
      <c r="A2" s="80" t="inlineStr">
        <is>
          <t>OSSPolicyGuard — Phased Roadmap</t>
        </is>
      </c>
    </row>
    <row r="3" ht="9.75" customHeight="1" s="49"/>
    <row r="4" ht="27.75" customHeight="1" s="49">
      <c r="A4" s="67" t="inlineStr">
        <is>
          <t>Phase</t>
        </is>
      </c>
      <c r="B4" s="67" t="inlineStr">
        <is>
          <t>Timeline</t>
        </is>
      </c>
      <c r="C4" s="67" t="inlineStr">
        <is>
          <t>Focus Area</t>
        </is>
      </c>
      <c r="D4" s="67" t="inlineStr">
        <is>
          <t>OPG Range</t>
        </is>
      </c>
      <c r="E4" s="67" t="inlineStr">
        <is>
          <t>Description</t>
        </is>
      </c>
      <c r="F4" s="67" t="inlineStr">
        <is>
          <t>P0</t>
        </is>
      </c>
      <c r="G4" s="67" t="inlineStr">
        <is>
          <t>P1</t>
        </is>
      </c>
      <c r="H4" s="67" t="inlineStr">
        <is>
          <t>P2</t>
        </is>
      </c>
      <c r="I4" s="67" t="inlineStr">
        <is>
          <t>Status / Notes</t>
        </is>
      </c>
    </row>
    <row r="5" ht="72" customHeight="1" s="49">
      <c r="A5" s="81" t="inlineStr">
        <is>
          <t>Phase 1</t>
        </is>
      </c>
      <c r="B5" s="82" t="inlineStr">
        <is>
          <t>Current — Q3 2026</t>
        </is>
      </c>
      <c r="C5" s="82" t="inlineStr">
        <is>
          <t>Core Infrastructure</t>
        </is>
      </c>
      <c r="D5" s="82" t="inlineStr">
        <is>
          <t>OPG-001 to OPG-065</t>
        </is>
      </c>
      <c r="E5" s="82" t="inlineStr">
        <is>
          <t>Foundation, provider layer, CVE/OSV intelligence. Single-module app, configuration management, GitHub/NVD/OSV/registry integrations.</t>
        </is>
      </c>
      <c r="F5" s="83" t="n">
        <v>61</v>
      </c>
      <c r="G5" s="83" t="n">
        <v>3</v>
      </c>
      <c r="H5" s="83" t="n">
        <v>1</v>
      </c>
      <c r="I5" s="82" t="inlineStr">
        <is>
          <t>Largely Complete — 64/65 Done; OPG-039 (GitLab/Bitbucket) deferred as P2</t>
        </is>
      </c>
    </row>
    <row r="6" ht="72" customHeight="1" s="49">
      <c r="A6" s="84" t="inlineStr">
        <is>
          <t>Phase 2</t>
        </is>
      </c>
      <c r="B6" s="85" t="inlineStr">
        <is>
          <t>Q4 2026</t>
        </is>
      </c>
      <c r="C6" s="85" t="inlineStr">
        <is>
          <t>Scoring &amp; Policy Engine</t>
        </is>
      </c>
      <c r="D6" s="85" t="inlineStr">
        <is>
          <t>OPG-066 to OPG-132</t>
        </is>
      </c>
      <c r="E6" s="85" t="inlineStr">
        <is>
          <t>Scoring algorithms, approval logic, contributor geolocation, OpenSSF Scorecard, CLI, SARIF/Markdown reporting.</t>
        </is>
      </c>
      <c r="F6" s="86" t="n">
        <v>45</v>
      </c>
      <c r="G6" s="86" t="n">
        <v>16</v>
      </c>
      <c r="H6" s="86" t="n">
        <v>6</v>
      </c>
      <c r="I6" s="85" t="inlineStr">
        <is>
          <t>Mostly Complete — 59/67 Done; 8 items Not Started (Maven, roadmap items, audit trail)</t>
        </is>
      </c>
    </row>
    <row r="7" ht="72" customHeight="1" s="49">
      <c r="A7" s="87" t="inlineStr">
        <is>
          <t>Phase 3</t>
        </is>
      </c>
      <c r="B7" s="88" t="inlineStr">
        <is>
          <t>Q1 2027</t>
        </is>
      </c>
      <c r="C7" s="88" t="inlineStr">
        <is>
          <t>License &amp; Supply Chain</t>
        </is>
      </c>
      <c r="D7" s="88" t="inlineStr">
        <is>
          <t>OPG-133 to OPG-147</t>
        </is>
      </c>
      <c r="E7" s="88" t="inlineStr">
        <is>
          <t>License compliance (SPDX, copyleft, compatibility), dependency pinning enforcement, EOL tracking, supply chain defense (AST analysis, phantom deps, reproducible builds, namespace squatting).</t>
        </is>
      </c>
      <c r="F7" s="89" t="n">
        <v>6</v>
      </c>
      <c r="G7" s="89" t="n">
        <v>9</v>
      </c>
      <c r="H7" s="89" t="n">
        <v>0</v>
      </c>
      <c r="I7" s="88" t="inlineStr">
        <is>
          <t>Not Started — Planned Q1 2027</t>
        </is>
      </c>
    </row>
    <row r="8" ht="72" customHeight="1" s="49">
      <c r="A8" s="90" t="inlineStr">
        <is>
          <t>Phase 4</t>
        </is>
      </c>
      <c r="B8" s="91" t="inlineStr">
        <is>
          <t>Q2 2027</t>
        </is>
      </c>
      <c r="C8" s="91" t="inlineStr">
        <is>
          <t>Enterprise &amp; Integrations</t>
        </is>
      </c>
      <c r="D8" s="91" t="inlineStr">
        <is>
          <t>OPG-148 to OPG-153</t>
        </is>
      </c>
      <c r="E8" s="91" t="inlineStr">
        <is>
          <t>SBOM generation (CycloneDX/SPDX), automated fix PRs, container scanning, package proxy/firewall mode, compliance evidence packaging (SOC 2, FedRAMP, PCI-DSS).</t>
        </is>
      </c>
      <c r="F8" s="92" t="n">
        <v>1</v>
      </c>
      <c r="G8" s="92" t="n">
        <v>5</v>
      </c>
      <c r="H8" s="92" t="n">
        <v>0</v>
      </c>
      <c r="I8" s="91" t="inlineStr">
        <is>
          <t>Not Started — Planned Q2 2027</t>
        </is>
      </c>
    </row>
    <row r="9" ht="72" customHeight="1" s="49">
      <c r="A9" s="93" t="inlineStr">
        <is>
          <t>Phase 5</t>
        </is>
      </c>
      <c r="B9" s="94" t="inlineStr">
        <is>
          <t>2027+</t>
        </is>
      </c>
      <c r="C9" s="94" t="inlineStr">
        <is>
          <t>Research &amp; Advanced Features</t>
        </is>
      </c>
      <c r="D9" s="94" t="inlineStr">
        <is>
          <t>OPG-154 to OPG-157</t>
        </is>
      </c>
      <c r="E9" s="94" t="inlineStr">
        <is>
          <t>LLM-assisted malicious pattern recognition, runtime dependency instrumentation, IaC deployment context enrichment, hierarchical team-scoped catalog with delegated administration.</t>
        </is>
      </c>
      <c r="F9" s="95" t="n">
        <v>0</v>
      </c>
      <c r="G9" s="95" t="n">
        <v>2</v>
      </c>
      <c r="H9" s="95" t="n">
        <v>2</v>
      </c>
      <c r="I9" s="94" t="inlineStr">
        <is>
          <t>Research Phase — Subject to feasibility studies</t>
        </is>
      </c>
    </row>
    <row r="10"/>
    <row r="11" ht="19.5" customHeight="1" s="49">
      <c r="A11" s="96" t="inlineStr">
        <is>
          <t>P0 = Critical (must-have)   |   P1 = High Priority   |   P2 = Research / Future</t>
        </is>
      </c>
    </row>
  </sheetData>
  <mergeCells count="2">
    <mergeCell ref="A2:I2"/>
    <mergeCell ref="A11:I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2026-08-15T15:21:52Z</dcterms:created>
  <dcterms:modified xmlns:dcterms="http://purl.org/dc/terms/" xmlns:xsi="http://www.w3.org/2001/XMLSchema-instance" xsi:type="dcterms:W3CDTF">2026-08-15T17:32:00Z</dcterms:modified>
  <cp:revision>0</cp:revision>
</cp:coreProperties>
</file>