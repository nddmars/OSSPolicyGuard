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quirements" sheetId="2" state="visible" r:id="rId2"/>
    <sheet name="Workstream Summary" sheetId="3" state="visible" r:id="rId3"/>
    <sheet name="Roadmap" sheetId="4" state="visible" r:id="rId4"/>
  </sheets>
  <definedNames>
    <definedName name="_xlnm._FilterDatabase" localSheetId="1" hidden="1">'Requirements'!$A$1:$J$158</definedName>
    <definedName name="_xlnm.Print_Area" localSheetId="1">'Requirements'!$A$1:$J$158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9C0006"/>
      <sz val="10"/>
    </font>
    <font>
      <name val="Arial"/>
      <color rgb="00444444"/>
      <sz val="9"/>
    </font>
    <font>
      <name val="Arial"/>
      <b val="1"/>
      <color rgb="009C5700"/>
      <sz val="10"/>
    </font>
    <font>
      <name val="Arial"/>
      <b val="1"/>
      <color rgb="0031619C"/>
      <sz val="10"/>
    </font>
    <font>
      <name val="Arial"/>
      <b val="1"/>
      <color rgb="00FFFFFF"/>
      <sz val="14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8EBF7"/>
      </patternFill>
    </fill>
    <fill>
      <patternFill patternType="solid">
        <fgColor rgb="002E4057"/>
      </patternFill>
    </fill>
    <fill>
      <patternFill patternType="solid">
        <fgColor rgb="002D3A8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F0F8"/>
      </patternFill>
    </fill>
    <fill>
      <patternFill patternType="solid">
        <fgColor rgb="001B5E83"/>
      </patternFill>
    </fill>
    <fill>
      <patternFill patternType="solid">
        <fgColor rgb="001B6E4E"/>
      </patternFill>
    </fill>
    <fill>
      <patternFill patternType="solid">
        <fgColor rgb="005E4B1B"/>
      </patternFill>
    </fill>
    <fill>
      <patternFill patternType="solid">
        <fgColor rgb="005B1B5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  <xf numFmtId="0" fontId="13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 ht="36" customHeight="1">
      <c r="A1" s="1" t="inlineStr">
        <is>
          <t>OSSPolicyGuard — Requirements Tracker</t>
        </is>
      </c>
    </row>
    <row r="2" ht="6" customHeight="1"/>
    <row r="3" ht="20" customHeight="1">
      <c r="A3" s="2" t="inlineStr">
        <is>
          <t>Product</t>
        </is>
      </c>
      <c r="B3" s="3" t="inlineStr">
        <is>
          <t>OSSPolicyGuard v0.1.0</t>
        </is>
      </c>
    </row>
    <row r="4" ht="20" customHeight="1">
      <c r="A4" s="2" t="inlineStr">
        <is>
          <t>Product Leads</t>
        </is>
      </c>
      <c r="B4" s="3" t="inlineStr">
        <is>
          <t>Surya Nalluri · Aluri</t>
        </is>
      </c>
    </row>
    <row r="5" ht="20" customHeight="1">
      <c r="A5" s="2" t="inlineStr">
        <is>
          <t>Last Updated</t>
        </is>
      </c>
      <c r="B5" s="3" t="inlineStr">
        <is>
          <t>August 2026</t>
        </is>
      </c>
    </row>
    <row r="6" ht="8" customHeight="1"/>
    <row r="7" ht="22" customHeight="1">
      <c r="A7" s="4" t="inlineStr">
        <is>
          <t>PROGRESS OVERVIEW</t>
        </is>
      </c>
    </row>
    <row r="8" ht="18" customHeight="1">
      <c r="A8" s="5" t="inlineStr">
        <is>
          <t>Metric</t>
        </is>
      </c>
      <c r="B8" s="5" t="inlineStr">
        <is>
          <t>Count</t>
        </is>
      </c>
      <c r="C8" s="5" t="inlineStr">
        <is>
          <t>% Total</t>
        </is>
      </c>
      <c r="D8" s="5" t="inlineStr"/>
      <c r="E8" s="5" t="inlineStr"/>
      <c r="F8" s="5" t="inlineStr"/>
    </row>
    <row r="9" ht="18" customHeight="1">
      <c r="A9" s="6" t="inlineStr">
        <is>
          <t>Total Requirements</t>
        </is>
      </c>
      <c r="B9" s="7">
        <f>COUNTA(Requirements!A2:A158)</f>
        <v/>
      </c>
      <c r="C9" s="8" t="n"/>
    </row>
    <row r="10" ht="18" customHeight="1">
      <c r="A10" s="9" t="inlineStr">
        <is>
          <t>Done</t>
        </is>
      </c>
      <c r="B10" s="10">
        <f>COUNTIF(Requirements!G:G,"Done")</f>
        <v/>
      </c>
      <c r="C10" s="11">
        <f>IF(C9&gt;0,C10/C9,0)</f>
        <v/>
      </c>
    </row>
    <row r="11" ht="18" customHeight="1">
      <c r="A11" s="12" t="inlineStr">
        <is>
          <t>In Progress</t>
        </is>
      </c>
      <c r="B11" s="8">
        <f>COUNTIF(Requirements!G:G,"In Progress")</f>
        <v/>
      </c>
      <c r="C11" s="13">
        <f>IF(C9&gt;0,C11/C9,0)</f>
        <v/>
      </c>
    </row>
    <row r="12" ht="18" customHeight="1">
      <c r="A12" s="9" t="inlineStr">
        <is>
          <t>Not Started</t>
        </is>
      </c>
      <c r="B12" s="10">
        <f>COUNTIF(Requirements!G:G,"Not Started")</f>
        <v/>
      </c>
      <c r="C12" s="11">
        <f>IF(C9&gt;0,C12/C9,0)</f>
        <v/>
      </c>
    </row>
    <row r="13" ht="18" customHeight="1">
      <c r="A13" s="12" t="inlineStr">
        <is>
          <t>Blocked</t>
        </is>
      </c>
      <c r="B13" s="8">
        <f>COUNTIF(Requirements!G:G,"Blocked")</f>
        <v/>
      </c>
      <c r="C13" s="13">
        <f>IF(C9&gt;0,C13/C9,0)</f>
        <v/>
      </c>
    </row>
    <row r="14" ht="18" customHeight="1">
      <c r="A14" s="14" t="inlineStr">
        <is>
          <t>% Complete</t>
        </is>
      </c>
      <c r="B14" s="15">
        <f>IF(C9&gt;0,C10/C9,0)</f>
        <v/>
      </c>
      <c r="C14" s="10" t="inlineStr"/>
    </row>
    <row r="15" ht="8" customHeight="1"/>
    <row r="16" ht="22" customHeight="1">
      <c r="A16" s="4" t="inlineStr">
        <is>
          <t>PRIORITY BREAKDOWN</t>
        </is>
      </c>
    </row>
    <row r="17" ht="18" customHeight="1">
      <c r="A17" s="12" t="inlineStr">
        <is>
          <t>P0 (Critical)</t>
        </is>
      </c>
      <c r="B17" s="8">
        <f>COUNTIF(Requirements!F:F,"P0")</f>
        <v/>
      </c>
      <c r="C17" s="13">
        <f>IF($C$9&gt;0,C17/$C$9,0)</f>
        <v/>
      </c>
    </row>
    <row r="18" ht="18" customHeight="1">
      <c r="A18" s="9" t="inlineStr">
        <is>
          <t>P1 (High)</t>
        </is>
      </c>
      <c r="B18" s="10">
        <f>COUNTIF(Requirements!F:F,"P1")</f>
        <v/>
      </c>
      <c r="C18" s="11">
        <f>IF($C$9&gt;0,C18/$C$9,0)</f>
        <v/>
      </c>
    </row>
    <row r="19" ht="18" customHeight="1">
      <c r="A19" s="12" t="inlineStr">
        <is>
          <t>P2 (Future)</t>
        </is>
      </c>
      <c r="B19" s="8">
        <f>COUNTIF(Requirements!F:F,"P2")</f>
        <v/>
      </c>
      <c r="C19" s="13">
        <f>IF($C$9&gt;0,C19/$C$9,0)</f>
        <v/>
      </c>
    </row>
    <row r="20" ht="8" customHeight="1"/>
    <row r="21" ht="22" customHeight="1">
      <c r="A21" s="4" t="inlineStr">
        <is>
          <t>WORKSTREAM SUMMARY</t>
        </is>
      </c>
    </row>
    <row r="22" ht="18" customHeight="1">
      <c r="A22" s="5" t="inlineStr">
        <is>
          <t>Workstream</t>
        </is>
      </c>
      <c r="B22" s="5" t="inlineStr">
        <is>
          <t>Total</t>
        </is>
      </c>
      <c r="C22" s="5" t="inlineStr">
        <is>
          <t>Done</t>
        </is>
      </c>
      <c r="D22" s="5" t="inlineStr">
        <is>
          <t>In Progress</t>
        </is>
      </c>
      <c r="E22" s="5" t="inlineStr">
        <is>
          <t>Not Started</t>
        </is>
      </c>
      <c r="F22" s="5" t="inlineStr">
        <is>
          <t>Blocked</t>
        </is>
      </c>
    </row>
    <row r="23" ht="18" customHeight="1">
      <c r="A23" s="9" t="inlineStr">
        <is>
          <t>WS 1: Architecture &amp; Foundation</t>
        </is>
      </c>
      <c r="B23" s="10">
        <f>COUNTIF(Requirements!B:B,"1")</f>
        <v/>
      </c>
      <c r="C23" s="10">
        <f>COUNTIFS(Requirements!B:B,"1",Requirements!G:G,"Done")</f>
        <v/>
      </c>
      <c r="D23" s="10">
        <f>COUNTIFS(Requirements!B:B,"1",Requirements!G:G,"In Progress")</f>
        <v/>
      </c>
      <c r="E23" s="10">
        <f>COUNTIFS(Requirements!B:B,"1",Requirements!G:G,"Not Started")</f>
        <v/>
      </c>
      <c r="F23" s="10">
        <f>COUNTIFS(Requirements!B:B,"1",Requirements!G:G,"Blocked")</f>
        <v/>
      </c>
    </row>
    <row r="24" ht="18" customHeight="1">
      <c r="A24" s="12" t="inlineStr">
        <is>
          <t>WS 2: Identity &amp; Dependency Ingestion</t>
        </is>
      </c>
      <c r="B24" s="8">
        <f>COUNTIF(Requirements!B:B,"2")</f>
        <v/>
      </c>
      <c r="C24" s="8">
        <f>COUNTIFS(Requirements!B:B,"2",Requirements!G:G,"Done")</f>
        <v/>
      </c>
      <c r="D24" s="8">
        <f>COUNTIFS(Requirements!B:B,"2",Requirements!G:G,"In Progress")</f>
        <v/>
      </c>
      <c r="E24" s="8">
        <f>COUNTIFS(Requirements!B:B,"2",Requirements!G:G,"Not Started")</f>
        <v/>
      </c>
      <c r="F24" s="8">
        <f>COUNTIFS(Requirements!B:B,"2",Requirements!G:G,"Blocked")</f>
        <v/>
      </c>
    </row>
    <row r="25" ht="18" customHeight="1">
      <c r="A25" s="9" t="inlineStr">
        <is>
          <t>WS 3: Evidence Providers &amp; Data Quality</t>
        </is>
      </c>
      <c r="B25" s="10">
        <f>COUNTIF(Requirements!B:B,"3")</f>
        <v/>
      </c>
      <c r="C25" s="10">
        <f>COUNTIFS(Requirements!B:B,"3",Requirements!G:G,"Done")</f>
        <v/>
      </c>
      <c r="D25" s="10">
        <f>COUNTIFS(Requirements!B:B,"3",Requirements!G:G,"In Progress")</f>
        <v/>
      </c>
      <c r="E25" s="10">
        <f>COUNTIFS(Requirements!B:B,"3",Requirements!G:G,"Not Started")</f>
        <v/>
      </c>
      <c r="F25" s="10">
        <f>COUNTIFS(Requirements!B:B,"3",Requirements!G:G,"Blocked")</f>
        <v/>
      </c>
    </row>
    <row r="26" ht="18" customHeight="1">
      <c r="A26" s="12" t="inlineStr">
        <is>
          <t>WS 4: Vulnerability &amp; Exploitability</t>
        </is>
      </c>
      <c r="B26" s="8">
        <f>COUNTIF(Requirements!B:B,"4")</f>
        <v/>
      </c>
      <c r="C26" s="8">
        <f>COUNTIFS(Requirements!B:B,"4",Requirements!G:G,"Done")</f>
        <v/>
      </c>
      <c r="D26" s="8">
        <f>COUNTIFS(Requirements!B:B,"4",Requirements!G:G,"In Progress")</f>
        <v/>
      </c>
      <c r="E26" s="8">
        <f>COUNTIFS(Requirements!B:B,"4",Requirements!G:G,"Not Started")</f>
        <v/>
      </c>
      <c r="F26" s="8">
        <f>COUNTIFS(Requirements!B:B,"4",Requirements!G:G,"Blocked")</f>
        <v/>
      </c>
    </row>
    <row r="27" ht="18" customHeight="1">
      <c r="A27" s="9" t="inlineStr">
        <is>
          <t>WS 5: Supply Chain &amp; Malicious Package Defense</t>
        </is>
      </c>
      <c r="B27" s="10">
        <f>COUNTIF(Requirements!B:B,"5")</f>
        <v/>
      </c>
      <c r="C27" s="10">
        <f>COUNTIFS(Requirements!B:B,"5",Requirements!G:G,"Done")</f>
        <v/>
      </c>
      <c r="D27" s="10">
        <f>COUNTIFS(Requirements!B:B,"5",Requirements!G:G,"In Progress")</f>
        <v/>
      </c>
      <c r="E27" s="10">
        <f>COUNTIFS(Requirements!B:B,"5",Requirements!G:G,"Not Started")</f>
        <v/>
      </c>
      <c r="F27" s="10">
        <f>COUNTIFS(Requirements!B:B,"5",Requirements!G:G,"Blocked")</f>
        <v/>
      </c>
    </row>
    <row r="28" ht="18" customHeight="1">
      <c r="A28" s="12" t="inlineStr">
        <is>
          <t>WS 6: Policy Engine &amp; Explainability</t>
        </is>
      </c>
      <c r="B28" s="8">
        <f>COUNTIF(Requirements!B:B,"6")</f>
        <v/>
      </c>
      <c r="C28" s="8">
        <f>COUNTIFS(Requirements!B:B,"6",Requirements!G:G,"Done")</f>
        <v/>
      </c>
      <c r="D28" s="8">
        <f>COUNTIFS(Requirements!B:B,"6",Requirements!G:G,"In Progress")</f>
        <v/>
      </c>
      <c r="E28" s="8">
        <f>COUNTIFS(Requirements!B:B,"6",Requirements!G:G,"Not Started")</f>
        <v/>
      </c>
      <c r="F28" s="8">
        <f>COUNTIFS(Requirements!B:B,"6",Requirements!G:G,"Blocked")</f>
        <v/>
      </c>
    </row>
    <row r="29" ht="18" customHeight="1">
      <c r="A29" s="9" t="inlineStr">
        <is>
          <t>WS 7: Outputs APIs &amp; Developer Integrations</t>
        </is>
      </c>
      <c r="B29" s="10">
        <f>COUNTIF(Requirements!B:B,"7")</f>
        <v/>
      </c>
      <c r="C29" s="10">
        <f>COUNTIFS(Requirements!B:B,"7",Requirements!G:G,"Done")</f>
        <v/>
      </c>
      <c r="D29" s="10">
        <f>COUNTIFS(Requirements!B:B,"7",Requirements!G:G,"In Progress")</f>
        <v/>
      </c>
      <c r="E29" s="10">
        <f>COUNTIFS(Requirements!B:B,"7",Requirements!G:G,"Not Started")</f>
        <v/>
      </c>
      <c r="F29" s="10">
        <f>COUNTIFS(Requirements!B:B,"7",Requirements!G:G,"Blocked")</f>
        <v/>
      </c>
    </row>
    <row r="30" ht="18" customHeight="1">
      <c r="A30" s="12" t="inlineStr">
        <is>
          <t>WS 8: Enterprise Governance &amp; Exceptions</t>
        </is>
      </c>
      <c r="B30" s="8">
        <f>COUNTIF(Requirements!B:B,"8")</f>
        <v/>
      </c>
      <c r="C30" s="8">
        <f>COUNTIFS(Requirements!B:B,"8",Requirements!G:G,"Done")</f>
        <v/>
      </c>
      <c r="D30" s="8">
        <f>COUNTIFS(Requirements!B:B,"8",Requirements!G:G,"In Progress")</f>
        <v/>
      </c>
      <c r="E30" s="8">
        <f>COUNTIFS(Requirements!B:B,"8",Requirements!G:G,"Not Started")</f>
        <v/>
      </c>
      <c r="F30" s="8">
        <f>COUNTIFS(Requirements!B:B,"8",Requirements!G:G,"Blocked")</f>
        <v/>
      </c>
    </row>
    <row r="31" ht="18" customHeight="1">
      <c r="A31" s="9" t="inlineStr">
        <is>
          <t>WS 9: Security Privacy &amp; Reliability</t>
        </is>
      </c>
      <c r="B31" s="10">
        <f>COUNTIF(Requirements!B:B,"9")</f>
        <v/>
      </c>
      <c r="C31" s="10">
        <f>COUNTIFS(Requirements!B:B,"9",Requirements!G:G,"Done")</f>
        <v/>
      </c>
      <c r="D31" s="10">
        <f>COUNTIFS(Requirements!B:B,"9",Requirements!G:G,"In Progress")</f>
        <v/>
      </c>
      <c r="E31" s="10">
        <f>COUNTIFS(Requirements!B:B,"9",Requirements!G:G,"Not Started")</f>
        <v/>
      </c>
      <c r="F31" s="10">
        <f>COUNTIFS(Requirements!B:B,"9",Requirements!G:G,"Blocked")</f>
        <v/>
      </c>
    </row>
    <row r="32" ht="18" customHeight="1">
      <c r="A32" s="12" t="inlineStr">
        <is>
          <t>WS 10: Quality Release &amp; Documentation</t>
        </is>
      </c>
      <c r="B32" s="8">
        <f>COUNTIF(Requirements!B:B,"10")</f>
        <v/>
      </c>
      <c r="C32" s="8">
        <f>COUNTIFS(Requirements!B:B,"10",Requirements!G:G,"Done")</f>
        <v/>
      </c>
      <c r="D32" s="8">
        <f>COUNTIFS(Requirements!B:B,"10",Requirements!G:G,"In Progress")</f>
        <v/>
      </c>
      <c r="E32" s="8">
        <f>COUNTIFS(Requirements!B:B,"10",Requirements!G:G,"Not Started")</f>
        <v/>
      </c>
      <c r="F32" s="8">
        <f>COUNTIFS(Requirements!B:B,"10",Requirements!G:G,"Blocked")</f>
        <v/>
      </c>
    </row>
    <row r="33" ht="18" customHeight="1">
      <c r="A33" s="9" t="inlineStr">
        <is>
          <t>WS 11: Adoption Validation &amp; Evidence</t>
        </is>
      </c>
      <c r="B33" s="10">
        <f>COUNTIF(Requirements!B:B,"11")</f>
        <v/>
      </c>
      <c r="C33" s="10">
        <f>COUNTIFS(Requirements!B:B,"11",Requirements!G:G,"Done")</f>
        <v/>
      </c>
      <c r="D33" s="10">
        <f>COUNTIFS(Requirements!B:B,"11",Requirements!G:G,"In Progress")</f>
        <v/>
      </c>
      <c r="E33" s="10">
        <f>COUNTIFS(Requirements!B:B,"11",Requirements!G:G,"Not Started")</f>
        <v/>
      </c>
      <c r="F33" s="10">
        <f>COUNTIFS(Requirements!B:B,"11",Requirements!G:G,"Blocked")</f>
        <v/>
      </c>
    </row>
    <row r="34" ht="18" customHeight="1">
      <c r="A34" s="12" t="inlineStr">
        <is>
          <t>WS 12: Differentiation Research &amp; IP Controls</t>
        </is>
      </c>
      <c r="B34" s="8">
        <f>COUNTIF(Requirements!B:B,"12")</f>
        <v/>
      </c>
      <c r="C34" s="8">
        <f>COUNTIFS(Requirements!B:B,"12",Requirements!G:G,"Done")</f>
        <v/>
      </c>
      <c r="D34" s="8">
        <f>COUNTIFS(Requirements!B:B,"12",Requirements!G:G,"In Progress")</f>
        <v/>
      </c>
      <c r="E34" s="8">
        <f>COUNTIFS(Requirements!B:B,"12",Requirements!G:G,"Not Started")</f>
        <v/>
      </c>
      <c r="F34" s="8">
        <f>COUNTIFS(Requirements!B:B,"12",Requirements!G:G,"Blocked")</f>
        <v/>
      </c>
    </row>
    <row r="35" ht="18" customHeight="1">
      <c r="A35" s="9" t="inlineStr">
        <is>
          <t>WS 13: License Compliance</t>
        </is>
      </c>
      <c r="B35" s="10">
        <f>COUNTIF(Requirements!B:B,"13")</f>
        <v/>
      </c>
      <c r="C35" s="10">
        <f>COUNTIFS(Requirements!B:B,"13",Requirements!G:G,"Done")</f>
        <v/>
      </c>
      <c r="D35" s="10">
        <f>COUNTIFS(Requirements!B:B,"13",Requirements!G:G,"In Progress")</f>
        <v/>
      </c>
      <c r="E35" s="10">
        <f>COUNTIFS(Requirements!B:B,"13",Requirements!G:G,"Not Started")</f>
        <v/>
      </c>
      <c r="F35" s="10">
        <f>COUNTIFS(Requirements!B:B,"13",Requirements!G:G,"Blocked")</f>
        <v/>
      </c>
    </row>
    <row r="36" ht="18" customHeight="1">
      <c r="A36" s="12" t="inlineStr">
        <is>
          <t>WS 14: Dependency Management Extended</t>
        </is>
      </c>
      <c r="B36" s="8">
        <f>COUNTIF(Requirements!B:B,"14")</f>
        <v/>
      </c>
      <c r="C36" s="8">
        <f>COUNTIFS(Requirements!B:B,"14",Requirements!G:G,"Done")</f>
        <v/>
      </c>
      <c r="D36" s="8">
        <f>COUNTIFS(Requirements!B:B,"14",Requirements!G:G,"In Progress")</f>
        <v/>
      </c>
      <c r="E36" s="8">
        <f>COUNTIFS(Requirements!B:B,"14",Requirements!G:G,"Not Started")</f>
        <v/>
      </c>
      <c r="F36" s="8">
        <f>COUNTIFS(Requirements!B:B,"14",Requirements!G:G,"Blocked")</f>
        <v/>
      </c>
    </row>
    <row r="37" ht="18" customHeight="1">
      <c r="A37" s="9" t="inlineStr">
        <is>
          <t>WS 15: Evidence Providers Extended</t>
        </is>
      </c>
      <c r="B37" s="10">
        <f>COUNTIF(Requirements!B:B,"15")</f>
        <v/>
      </c>
      <c r="C37" s="10">
        <f>COUNTIFS(Requirements!B:B,"15",Requirements!G:G,"Done")</f>
        <v/>
      </c>
      <c r="D37" s="10">
        <f>COUNTIFS(Requirements!B:B,"15",Requirements!G:G,"In Progress")</f>
        <v/>
      </c>
      <c r="E37" s="10">
        <f>COUNTIFS(Requirements!B:B,"15",Requirements!G:G,"Not Started")</f>
        <v/>
      </c>
      <c r="F37" s="10">
        <f>COUNTIFS(Requirements!B:B,"15",Requirements!G:G,"Blocked")</f>
        <v/>
      </c>
    </row>
    <row r="38" ht="18" customHeight="1">
      <c r="A38" s="12" t="inlineStr">
        <is>
          <t>WS 16: Supply Chain Defense Extended</t>
        </is>
      </c>
      <c r="B38" s="8">
        <f>COUNTIF(Requirements!B:B,"16")</f>
        <v/>
      </c>
      <c r="C38" s="8">
        <f>COUNTIFS(Requirements!B:B,"16",Requirements!G:G,"Done")</f>
        <v/>
      </c>
      <c r="D38" s="8">
        <f>COUNTIFS(Requirements!B:B,"16",Requirements!G:G,"In Progress")</f>
        <v/>
      </c>
      <c r="E38" s="8">
        <f>COUNTIFS(Requirements!B:B,"16",Requirements!G:G,"Not Started")</f>
        <v/>
      </c>
      <c r="F38" s="8">
        <f>COUNTIFS(Requirements!B:B,"16",Requirements!G:G,"Blocked")</f>
        <v/>
      </c>
    </row>
    <row r="39" ht="18" customHeight="1">
      <c r="A39" s="9" t="inlineStr">
        <is>
          <t>WS 17: Policy Engine Extended</t>
        </is>
      </c>
      <c r="B39" s="10">
        <f>COUNTIF(Requirements!B:B,"17")</f>
        <v/>
      </c>
      <c r="C39" s="10">
        <f>COUNTIFS(Requirements!B:B,"17",Requirements!G:G,"Done")</f>
        <v/>
      </c>
      <c r="D39" s="10">
        <f>COUNTIFS(Requirements!B:B,"17",Requirements!G:G,"In Progress")</f>
        <v/>
      </c>
      <c r="E39" s="10">
        <f>COUNTIFS(Requirements!B:B,"17",Requirements!G:G,"Not Started")</f>
        <v/>
      </c>
      <c r="F39" s="10">
        <f>COUNTIFS(Requirements!B:B,"17",Requirements!G:G,"Blocked")</f>
        <v/>
      </c>
    </row>
    <row r="40" ht="18" customHeight="1">
      <c r="A40" s="12" t="inlineStr">
        <is>
          <t>WS 18: Outputs &amp; Integrations Extended</t>
        </is>
      </c>
      <c r="B40" s="8">
        <f>COUNTIF(Requirements!B:B,"18")</f>
        <v/>
      </c>
      <c r="C40" s="8">
        <f>COUNTIFS(Requirements!B:B,"18",Requirements!G:G,"Done")</f>
        <v/>
      </c>
      <c r="D40" s="8">
        <f>COUNTIFS(Requirements!B:B,"18",Requirements!G:G,"In Progress")</f>
        <v/>
      </c>
      <c r="E40" s="8">
        <f>COUNTIFS(Requirements!B:B,"18",Requirements!G:G,"Not Started")</f>
        <v/>
      </c>
      <c r="F40" s="8">
        <f>COUNTIFS(Requirements!B:B,"18",Requirements!G:G,"Blocked")</f>
        <v/>
      </c>
    </row>
    <row r="41" ht="18" customHeight="1">
      <c r="A41" s="9" t="inlineStr">
        <is>
          <t>WS 19: Quality &amp; Compliance Extended</t>
        </is>
      </c>
      <c r="B41" s="10">
        <f>COUNTIF(Requirements!B:B,"19")</f>
        <v/>
      </c>
      <c r="C41" s="10">
        <f>COUNTIFS(Requirements!B:B,"19",Requirements!G:G,"Done")</f>
        <v/>
      </c>
      <c r="D41" s="10">
        <f>COUNTIFS(Requirements!B:B,"19",Requirements!G:G,"In Progress")</f>
        <v/>
      </c>
      <c r="E41" s="10">
        <f>COUNTIFS(Requirements!B:B,"19",Requirements!G:G,"Not Started")</f>
        <v/>
      </c>
      <c r="F41" s="10">
        <f>COUNTIFS(Requirements!B:B,"19",Requirements!G:G,"Blocked")</f>
        <v/>
      </c>
    </row>
    <row r="42" ht="18" customHeight="1">
      <c r="A42" s="12" t="inlineStr">
        <is>
          <t>WS 20: Research Extended</t>
        </is>
      </c>
      <c r="B42" s="8">
        <f>COUNTIF(Requirements!B:B,"20")</f>
        <v/>
      </c>
      <c r="C42" s="8">
        <f>COUNTIFS(Requirements!B:B,"20",Requirements!G:G,"Done")</f>
        <v/>
      </c>
      <c r="D42" s="8">
        <f>COUNTIFS(Requirements!B:B,"20",Requirements!G:G,"In Progress")</f>
        <v/>
      </c>
      <c r="E42" s="8">
        <f>COUNTIFS(Requirements!B:B,"20",Requirements!G:G,"Not Started")</f>
        <v/>
      </c>
      <c r="F42" s="8">
        <f>COUNTIFS(Requirements!B:B,"20",Requirements!G:G,"Blocked")</f>
        <v/>
      </c>
    </row>
  </sheetData>
  <mergeCells count="4">
    <mergeCell ref="A16:F16"/>
    <mergeCell ref="A21:F21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22" customWidth="1" min="4" max="4"/>
    <col width="55" customWidth="1" min="5" max="5"/>
    <col width="8" customWidth="1" min="6" max="6"/>
    <col width="15" customWidth="1" min="7" max="7"/>
    <col width="50" customWidth="1" min="8" max="8"/>
    <col width="18" customWidth="1" min="9" max="9"/>
    <col width="30" customWidth="1" min="10" max="10"/>
  </cols>
  <sheetData>
    <row r="1" ht="22" customHeight="1">
      <c r="A1" s="16" t="inlineStr">
        <is>
          <t>OPG ID</t>
        </is>
      </c>
      <c r="B1" s="16" t="inlineStr">
        <is>
          <t>WS#</t>
        </is>
      </c>
      <c r="C1" s="16" t="inlineStr">
        <is>
          <t>Feature Name</t>
        </is>
      </c>
      <c r="D1" s="16" t="inlineStr">
        <is>
          <t>Workstream</t>
        </is>
      </c>
      <c r="E1" s="16" t="inlineStr">
        <is>
          <t>Description / Acceptance Criteria</t>
        </is>
      </c>
      <c r="F1" s="16" t="inlineStr">
        <is>
          <t>Priority</t>
        </is>
      </c>
      <c r="G1" s="16" t="inlineStr">
        <is>
          <t>Status</t>
        </is>
      </c>
      <c r="H1" s="16" t="inlineStr">
        <is>
          <t>Implementation Notes</t>
        </is>
      </c>
      <c r="I1" s="16" t="inlineStr">
        <is>
          <t>Module / File</t>
        </is>
      </c>
      <c r="J1" s="16" t="inlineStr">
        <is>
          <t>Linked OPG IDs</t>
        </is>
      </c>
    </row>
    <row r="2" ht="40" customHeight="1">
      <c r="A2" s="17" t="inlineStr">
        <is>
          <t>OPG-001</t>
        </is>
      </c>
      <c r="B2" s="18" t="n">
        <v>1</v>
      </c>
      <c r="C2" s="19" t="inlineStr">
        <is>
          <t>Public product contract</t>
        </is>
      </c>
      <c r="D2" s="20" t="inlineStr">
        <is>
          <t>Architecture &amp; Foundation</t>
        </is>
      </c>
      <c r="E2" s="20" t="inlineStr">
        <is>
          <t>README identifies target users, supported ecosystems, decision semantics, limitations, and five-minute quick start</t>
        </is>
      </c>
      <c r="F2" s="21" t="inlineStr">
        <is>
          <t>P0</t>
        </is>
      </c>
      <c r="G2" s="22" t="inlineStr">
        <is>
          <t>In Progress</t>
        </is>
      </c>
      <c r="H2" s="20" t="inlineStr">
        <is>
          <t>README.md updated with product contract</t>
        </is>
      </c>
      <c r="I2" s="23" t="inlineStr">
        <is>
          <t>README.md</t>
        </is>
      </c>
      <c r="J2" s="23" t="inlineStr"/>
    </row>
    <row r="3" ht="40" customHeight="1">
      <c r="A3" s="24" t="inlineStr">
        <is>
          <t>OPG-002</t>
        </is>
      </c>
      <c r="B3" s="25" t="n">
        <v>1</v>
      </c>
      <c r="C3" s="26" t="inlineStr">
        <is>
          <t>Safe technical-signal policy</t>
        </is>
      </c>
      <c r="D3" s="27" t="inlineStr">
        <is>
          <t>Architecture &amp; Foundation</t>
        </is>
      </c>
      <c r="E3" s="27" t="inlineStr">
        <is>
          <t>Default score unchanged when maintainer identity/location changes; jurisdiction rules are opt-in and excluded from maliciousness inference</t>
        </is>
      </c>
      <c r="F3" s="28" t="inlineStr">
        <is>
          <t>P0</t>
        </is>
      </c>
      <c r="G3" s="29" t="inlineStr">
        <is>
          <t>Done</t>
        </is>
      </c>
      <c r="H3" s="27" t="inlineStr">
        <is>
          <t>Safe-signal policy enforced in scoring logic</t>
        </is>
      </c>
      <c r="I3" s="30" t="inlineStr">
        <is>
          <t>oss_scorer.py</t>
        </is>
      </c>
      <c r="J3" s="30" t="inlineStr"/>
    </row>
    <row r="4" ht="40" customHeight="1">
      <c r="A4" s="17" t="inlineStr">
        <is>
          <t>OPG-003</t>
        </is>
      </c>
      <c r="B4" s="18" t="n">
        <v>1</v>
      </c>
      <c r="C4" s="19" t="inlineStr">
        <is>
          <t>Modular package architecture</t>
        </is>
      </c>
      <c r="D4" s="20" t="inlineStr">
        <is>
          <t>Architecture &amp; Foundation</t>
        </is>
      </c>
      <c r="E4" s="20" t="inlineStr">
        <is>
          <t>Move monolithic scorer into typed models, providers, policy, reports, manifest modules; CLI behavior and golden outputs remain compatible</t>
        </is>
      </c>
      <c r="F4" s="21" t="inlineStr">
        <is>
          <t>P0</t>
        </is>
      </c>
      <c r="G4" s="22" t="inlineStr">
        <is>
          <t>In Progress</t>
        </is>
      </c>
      <c r="H4" s="20" t="inlineStr">
        <is>
          <t>Module skeleton created in src/osspolicyguard/</t>
        </is>
      </c>
      <c r="I4" s="23" t="inlineStr">
        <is>
          <t>src/osspolicyguard/</t>
        </is>
      </c>
      <c r="J4" s="23" t="inlineStr">
        <is>
          <t>OPG-005</t>
        </is>
      </c>
    </row>
    <row r="5" ht="40" customHeight="1">
      <c r="A5" s="24" t="inlineStr">
        <is>
          <t>OPG-004</t>
        </is>
      </c>
      <c r="B5" s="25" t="n">
        <v>1</v>
      </c>
      <c r="C5" s="26" t="inlineStr">
        <is>
          <t>Installable Python package</t>
        </is>
      </c>
      <c r="D5" s="27" t="inlineStr">
        <is>
          <t>Architecture &amp; Foundation</t>
        </is>
      </c>
      <c r="E5" s="27" t="inlineStr">
        <is>
          <t>Clean Python 3.11/3.12 environment installs wheel and runs osspolicyguard --version and one offline fixture scan</t>
        </is>
      </c>
      <c r="F5" s="28" t="inlineStr">
        <is>
          <t>P0</t>
        </is>
      </c>
      <c r="G5" s="29" t="inlineStr">
        <is>
          <t>Done</t>
        </is>
      </c>
      <c r="H5" s="27" t="inlineStr">
        <is>
          <t>pyproject.toml + src layout configured</t>
        </is>
      </c>
      <c r="I5" s="30" t="inlineStr">
        <is>
          <t>pyproject.toml</t>
        </is>
      </c>
      <c r="J5" s="30" t="inlineStr"/>
    </row>
    <row r="6" ht="40" customHeight="1">
      <c r="A6" s="17" t="inlineStr">
        <is>
          <t>OPG-005</t>
        </is>
      </c>
      <c r="B6" s="18" t="n">
        <v>1</v>
      </c>
      <c r="C6" s="19" t="inlineStr">
        <is>
          <t>Stable public Python API</t>
        </is>
      </c>
      <c r="D6" s="20" t="inlineStr">
        <is>
          <t>Architecture &amp; Foundation</t>
        </is>
      </c>
      <c r="E6" s="20" t="inlineStr">
        <is>
          <t>Expose documented scan_package, scan_manifest, evaluate_policy APIs with typed inputs/results and semver compatibility tests</t>
        </is>
      </c>
      <c r="F6" s="31" t="inlineStr">
        <is>
          <t>P1</t>
        </is>
      </c>
      <c r="G6" s="22" t="inlineStr">
        <is>
          <t>In Progress</t>
        </is>
      </c>
      <c r="H6" s="20" t="inlineStr">
        <is>
          <t>scan_package() implemented; scan_manifest() stub</t>
        </is>
      </c>
      <c r="I6" s="23" t="inlineStr">
        <is>
          <t>src/osspolicyguard/cli.py</t>
        </is>
      </c>
      <c r="J6" s="23" t="inlineStr">
        <is>
          <t>OPG-003</t>
        </is>
      </c>
    </row>
    <row r="7" ht="40" customHeight="1">
      <c r="A7" s="24" t="inlineStr">
        <is>
          <t>OPG-006</t>
        </is>
      </c>
      <c r="B7" s="25" t="n">
        <v>1</v>
      </c>
      <c r="C7" s="26" t="inlineStr">
        <is>
          <t>Domain exception hierarchy</t>
        </is>
      </c>
      <c r="D7" s="27" t="inlineStr">
        <is>
          <t>Architecture &amp; Foundation</t>
        </is>
      </c>
      <c r="E7" s="27" t="inlineStr">
        <is>
          <t>Define config, provider, identity, policy, report, and internal error types; CLI maps each to a message and exit code without traceback</t>
        </is>
      </c>
      <c r="F7" s="28" t="inlineStr">
        <is>
          <t>P0</t>
        </is>
      </c>
      <c r="G7" s="29" t="inlineStr">
        <is>
          <t>Done</t>
        </is>
      </c>
      <c r="H7" s="27" t="inlineStr">
        <is>
          <t>Full exception hierarchy implemented</t>
        </is>
      </c>
      <c r="I7" s="30" t="inlineStr">
        <is>
          <t>src/osspolicyguard/exceptions.py</t>
        </is>
      </c>
      <c r="J7" s="30" t="inlineStr"/>
    </row>
    <row r="8" ht="40" customHeight="1">
      <c r="A8" s="17" t="inlineStr">
        <is>
          <t>OPG-007</t>
        </is>
      </c>
      <c r="B8" s="18" t="n">
        <v>1</v>
      </c>
      <c r="C8" s="19" t="inlineStr">
        <is>
          <t>Dependency injection</t>
        </is>
      </c>
      <c r="D8" s="20" t="inlineStr">
        <is>
          <t>Architecture &amp; Foundation</t>
        </is>
      </c>
      <c r="E8" s="20" t="inlineStr">
        <is>
          <t>Providers, clock, cache, and policy store can be injected; unit tests run without patching global requests or live network calls</t>
        </is>
      </c>
      <c r="F8" s="21" t="inlineStr">
        <is>
          <t>P0</t>
        </is>
      </c>
      <c r="G8" s="22" t="inlineStr">
        <is>
          <t>In Progress</t>
        </is>
      </c>
      <c r="H8" s="20" t="inlineStr">
        <is>
          <t>ProviderBase ABC and NullProvider implemented</t>
        </is>
      </c>
      <c r="I8" s="23" t="inlineStr">
        <is>
          <t>src/osspolicyguard/providers/__init__.py</t>
        </is>
      </c>
      <c r="J8" s="23" t="inlineStr">
        <is>
          <t>OPG-023</t>
        </is>
      </c>
    </row>
    <row r="9" ht="40" customHeight="1">
      <c r="A9" s="24" t="inlineStr">
        <is>
          <t>OPG-008</t>
        </is>
      </c>
      <c r="B9" s="25" t="n">
        <v>1</v>
      </c>
      <c r="C9" s="26" t="inlineStr">
        <is>
          <t>Configuration layering</t>
        </is>
      </c>
      <c r="D9" s="27" t="inlineStr">
        <is>
          <t>Architecture &amp; Foundation</t>
        </is>
      </c>
      <c r="E9" s="27" t="inlineStr">
        <is>
          <t>Merge defaults, org policy, repo policy, env vars, and CLI overrides in documented precedence; config explain shows winning source</t>
        </is>
      </c>
      <c r="F9" s="28" t="inlineStr">
        <is>
          <t>P0</t>
        </is>
      </c>
      <c r="G9" s="22" t="inlineStr">
        <is>
          <t>In Progress</t>
        </is>
      </c>
      <c r="H9" s="27" t="inlineStr">
        <is>
          <t>Env var overrides + YAML defaults implemented</t>
        </is>
      </c>
      <c r="I9" s="30" t="inlineStr">
        <is>
          <t>oss_scorer.py / config.yaml</t>
        </is>
      </c>
      <c r="J9" s="30" t="inlineStr"/>
    </row>
    <row r="10" ht="40" customHeight="1">
      <c r="A10" s="17" t="inlineStr">
        <is>
          <t>OPG-009</t>
        </is>
      </c>
      <c r="B10" s="18" t="n">
        <v>1</v>
      </c>
      <c r="C10" s="19" t="inlineStr">
        <is>
          <t>Configuration schema and migration</t>
        </is>
      </c>
      <c r="D10" s="20" t="inlineStr">
        <is>
          <t>Architecture &amp; Foundation</t>
        </is>
      </c>
      <c r="E10" s="20" t="inlineStr">
        <is>
          <t>Versioned JSON Schema for YAML config; invalid keys fail with path-specific messages; older versions migrate deterministically</t>
        </is>
      </c>
      <c r="F10" s="21" t="inlineStr">
        <is>
          <t>P0</t>
        </is>
      </c>
      <c r="G10" s="29" t="inlineStr">
        <is>
          <t>Done</t>
        </is>
      </c>
      <c r="H10" s="20" t="inlineStr">
        <is>
          <t>config.schema.json (JSON Schema draft 2020-12)</t>
        </is>
      </c>
      <c r="I10" s="23" t="inlineStr">
        <is>
          <t>config.schema.json</t>
        </is>
      </c>
      <c r="J10" s="23" t="inlineStr"/>
    </row>
    <row r="11" ht="40" customHeight="1">
      <c r="A11" s="24" t="inlineStr">
        <is>
          <t>OPG-010</t>
        </is>
      </c>
      <c r="B11" s="25" t="n">
        <v>1</v>
      </c>
      <c r="C11" s="26" t="inlineStr">
        <is>
          <t>Structured logging</t>
        </is>
      </c>
      <c r="D11" s="27" t="inlineStr">
        <is>
          <t>Architecture &amp; Foundation</t>
        </is>
      </c>
      <c r="E11" s="27" t="inlineStr">
        <is>
          <t>Emit JSON or human logs with request ID, package coords, provider, latency, retry count, outcome; tokens redacted in tests</t>
        </is>
      </c>
      <c r="F11" s="32" t="inlineStr">
        <is>
          <t>P1</t>
        </is>
      </c>
      <c r="G11" s="29" t="inlineStr">
        <is>
          <t>Done</t>
        </is>
      </c>
      <c r="H11" s="27" t="inlineStr">
        <is>
          <t>RedactingFilter + StructuredFormatter implemented</t>
        </is>
      </c>
      <c r="I11" s="30" t="inlineStr">
        <is>
          <t>src/osspolicyguard/logging_config.py</t>
        </is>
      </c>
      <c r="J11" s="30" t="inlineStr"/>
    </row>
    <row r="12" ht="40" customHeight="1">
      <c r="A12" s="17" t="inlineStr">
        <is>
          <t>OPG-011</t>
        </is>
      </c>
      <c r="B12" s="18" t="n">
        <v>1</v>
      </c>
      <c r="C12" s="19" t="inlineStr">
        <is>
          <t>Feature flag framework</t>
        </is>
      </c>
      <c r="D12" s="20" t="inlineStr">
        <is>
          <t>Architecture &amp; Foundation</t>
        </is>
      </c>
      <c r="E12" s="20" t="inlineStr">
        <is>
          <t>Experimental providers disabled by default, named, auditable, covered by tests for enabled/disabled behavior</t>
        </is>
      </c>
      <c r="F12" s="31" t="inlineStr">
        <is>
          <t>P1</t>
        </is>
      </c>
      <c r="G12" s="33" t="inlineStr">
        <is>
          <t>Not Started</t>
        </is>
      </c>
      <c r="H12" s="20" t="inlineStr"/>
      <c r="I12" s="23" t="inlineStr">
        <is>
          <t>TBD</t>
        </is>
      </c>
      <c r="J12" s="23" t="inlineStr"/>
    </row>
    <row r="13" ht="40" customHeight="1">
      <c r="A13" s="24" t="inlineStr">
        <is>
          <t>OPG-012</t>
        </is>
      </c>
      <c r="B13" s="25" t="n">
        <v>2</v>
      </c>
      <c r="C13" s="26" t="inlineStr">
        <is>
          <t>Canonical Package URL identity</t>
        </is>
      </c>
      <c r="D13" s="27" t="inlineStr">
        <is>
          <t>Identity &amp; Dependency Ingestion</t>
        </is>
      </c>
      <c r="E13" s="27" t="inlineStr">
        <is>
          <t>Normalize every input to validated purl; equivalent spellings produce one canonical identifier</t>
        </is>
      </c>
      <c r="F13" s="28" t="inlineStr">
        <is>
          <t>P0</t>
        </is>
      </c>
      <c r="G13" s="29" t="inlineStr">
        <is>
          <t>Done</t>
        </is>
      </c>
      <c r="H13" s="27" t="inlineStr">
        <is>
          <t>PackageUrl dataclass with per-ecosystem normalization</t>
        </is>
      </c>
      <c r="I13" s="30" t="inlineStr">
        <is>
          <t>src/osspolicyguard/identity.py</t>
        </is>
      </c>
      <c r="J13" s="30" t="inlineStr"/>
    </row>
    <row r="14" ht="40" customHeight="1">
      <c r="A14" s="17" t="inlineStr">
        <is>
          <t>OPG-013</t>
        </is>
      </c>
      <c r="B14" s="18" t="n">
        <v>2</v>
      </c>
      <c r="C14" s="19" t="inlineStr">
        <is>
          <t>Repository resolution with confidence</t>
        </is>
      </c>
      <c r="D14" s="20" t="inlineStr">
        <is>
          <t>Identity &amp; Dependency Ingestion</t>
        </is>
      </c>
      <c r="E14" s="20" t="inlineStr">
        <is>
          <t>Resolve package-to-repository links; report source, confidence, redirects, and ambiguity</t>
        </is>
      </c>
      <c r="F14" s="21" t="inlineStr">
        <is>
          <t>P0</t>
        </is>
      </c>
      <c r="G14" s="22" t="inlineStr">
        <is>
          <t>In Progress</t>
        </is>
      </c>
      <c r="H14" s="20" t="inlineStr">
        <is>
          <t>GitHub URL parsing and resolution in place</t>
        </is>
      </c>
      <c r="I14" s="23" t="inlineStr">
        <is>
          <t>oss_scorer.py</t>
        </is>
      </c>
      <c r="J14" s="23" t="inlineStr">
        <is>
          <t>OPG-026</t>
        </is>
      </c>
    </row>
    <row r="15" ht="40" customHeight="1">
      <c r="A15" s="24" t="inlineStr">
        <is>
          <t>OPG-014</t>
        </is>
      </c>
      <c r="B15" s="25" t="n">
        <v>2</v>
      </c>
      <c r="C15" s="26" t="inlineStr">
        <is>
          <t>Exact version resolution</t>
        </is>
      </c>
      <c r="D15" s="27" t="inlineStr">
        <is>
          <t>Identity &amp; Dependency Ingestion</t>
        </is>
      </c>
      <c r="E15" s="27" t="inlineStr">
        <is>
          <t>Resolve analyzed version and immutable artifact digest; reject ranges when deterministic resolution required</t>
        </is>
      </c>
      <c r="F15" s="28" t="inlineStr">
        <is>
          <t>P0</t>
        </is>
      </c>
      <c r="G15" s="33" t="inlineStr">
        <is>
          <t>Not Started</t>
        </is>
      </c>
      <c r="H15" s="27" t="inlineStr"/>
      <c r="I15" s="30" t="inlineStr">
        <is>
          <t>TBD</t>
        </is>
      </c>
      <c r="J15" s="30" t="inlineStr">
        <is>
          <t>OPG-012</t>
        </is>
      </c>
    </row>
    <row r="16" ht="40" customHeight="1">
      <c r="A16" s="17" t="inlineStr">
        <is>
          <t>OPG-015</t>
        </is>
      </c>
      <c r="B16" s="18" t="n">
        <v>2</v>
      </c>
      <c r="C16" s="19" t="inlineStr">
        <is>
          <t>PyPI requirements ingestion</t>
        </is>
      </c>
      <c r="D16" s="20" t="inlineStr">
        <is>
          <t>Identity &amp; Dependency Ingestion</t>
        </is>
      </c>
      <c r="E16" s="20" t="inlineStr">
        <is>
          <t>Parse requirements.txt including pins, extras, markers, hashes, includes, constraints, editable/VCS entries</t>
        </is>
      </c>
      <c r="F16" s="21" t="inlineStr">
        <is>
          <t>P0</t>
        </is>
      </c>
      <c r="G16" s="22" t="inlineStr">
        <is>
          <t>In Progress</t>
        </is>
      </c>
      <c r="H16" s="20" t="inlineStr">
        <is>
          <t>Basic requirements.txt scanning in CI action</t>
        </is>
      </c>
      <c r="I16" s="23" t="inlineStr">
        <is>
          <t>scripts/</t>
        </is>
      </c>
      <c r="J16" s="23" t="inlineStr">
        <is>
          <t>OPG-012</t>
        </is>
      </c>
    </row>
    <row r="17" ht="40" customHeight="1">
      <c r="A17" s="24" t="inlineStr">
        <is>
          <t>OPG-016</t>
        </is>
      </c>
      <c r="B17" s="25" t="n">
        <v>2</v>
      </c>
      <c r="C17" s="26" t="inlineStr">
        <is>
          <t>Python lockfile ingestion</t>
        </is>
      </c>
      <c r="D17" s="27" t="inlineStr">
        <is>
          <t>Identity &amp; Dependency Ingestion</t>
        </is>
      </c>
      <c r="E17" s="27" t="inlineStr">
        <is>
          <t>Parse Poetry, Pipenv, uv, PEP 665-compatible lock data; retain direct/transitive relationship</t>
        </is>
      </c>
      <c r="F17" s="32" t="inlineStr">
        <is>
          <t>P1</t>
        </is>
      </c>
      <c r="G17" s="33" t="inlineStr">
        <is>
          <t>Not Started</t>
        </is>
      </c>
      <c r="H17" s="27" t="inlineStr"/>
      <c r="I17" s="30" t="inlineStr">
        <is>
          <t>TBD</t>
        </is>
      </c>
      <c r="J17" s="30" t="inlineStr">
        <is>
          <t>OPG-015</t>
        </is>
      </c>
    </row>
    <row r="18" ht="40" customHeight="1">
      <c r="A18" s="17" t="inlineStr">
        <is>
          <t>OPG-017</t>
        </is>
      </c>
      <c r="B18" s="18" t="n">
        <v>2</v>
      </c>
      <c r="C18" s="19" t="inlineStr">
        <is>
          <t>npm manifest ingestion</t>
        </is>
      </c>
      <c r="D18" s="20" t="inlineStr">
        <is>
          <t>Identity &amp; Dependency Ingestion</t>
        </is>
      </c>
      <c r="E18" s="20" t="inlineStr">
        <is>
          <t>Parse package.json dependency sections and workspace definitions without executing scripts; normalize scoped packages</t>
        </is>
      </c>
      <c r="F18" s="21" t="inlineStr">
        <is>
          <t>P0</t>
        </is>
      </c>
      <c r="G18" s="22" t="inlineStr">
        <is>
          <t>In Progress</t>
        </is>
      </c>
      <c r="H18" s="20" t="inlineStr">
        <is>
          <t>Basic package.json scanning in CI action</t>
        </is>
      </c>
      <c r="I18" s="23" t="inlineStr">
        <is>
          <t>scripts/</t>
        </is>
      </c>
      <c r="J18" s="23" t="inlineStr">
        <is>
          <t>OPG-012</t>
        </is>
      </c>
    </row>
    <row r="19" ht="40" customHeight="1">
      <c r="A19" s="24" t="inlineStr">
        <is>
          <t>OPG-018</t>
        </is>
      </c>
      <c r="B19" s="25" t="n">
        <v>2</v>
      </c>
      <c r="C19" s="26" t="inlineStr">
        <is>
          <t>npm lockfile ingestion</t>
        </is>
      </c>
      <c r="D19" s="27" t="inlineStr">
        <is>
          <t>Identity &amp; Dependency Ingestion</t>
        </is>
      </c>
      <c r="E19" s="27" t="inlineStr">
        <is>
          <t>Support package-lock v2/v3, npm-shrinkwrap, yarn.lock, pnpm-lock; preserve resolved URL, integrity hash, depth</t>
        </is>
      </c>
      <c r="F19" s="28" t="inlineStr">
        <is>
          <t>P0</t>
        </is>
      </c>
      <c r="G19" s="33" t="inlineStr">
        <is>
          <t>Not Started</t>
        </is>
      </c>
      <c r="H19" s="27" t="inlineStr"/>
      <c r="I19" s="30" t="inlineStr">
        <is>
          <t>TBD</t>
        </is>
      </c>
      <c r="J19" s="30" t="inlineStr">
        <is>
          <t>OPG-017</t>
        </is>
      </c>
    </row>
    <row r="20" ht="40" customHeight="1">
      <c r="A20" s="17" t="inlineStr">
        <is>
          <t>OPG-019</t>
        </is>
      </c>
      <c r="B20" s="18" t="n">
        <v>2</v>
      </c>
      <c r="C20" s="19" t="inlineStr">
        <is>
          <t>SBOM ingestion</t>
        </is>
      </c>
      <c r="D20" s="20" t="inlineStr">
        <is>
          <t>Identity &amp; Dependency Ingestion</t>
        </is>
      </c>
      <c r="E20" s="20" t="inlineStr">
        <is>
          <t>Accept CycloneDX 1.5+ and SPDX 2.3 JSON; validate schema and translate components to internal graph</t>
        </is>
      </c>
      <c r="F20" s="31" t="inlineStr">
        <is>
          <t>P1</t>
        </is>
      </c>
      <c r="G20" s="33" t="inlineStr">
        <is>
          <t>Not Started</t>
        </is>
      </c>
      <c r="H20" s="20" t="inlineStr"/>
      <c r="I20" s="23" t="inlineStr">
        <is>
          <t>TBD</t>
        </is>
      </c>
      <c r="J20" s="23" t="inlineStr">
        <is>
          <t>OPG-020</t>
        </is>
      </c>
    </row>
    <row r="21" ht="40" customHeight="1">
      <c r="A21" s="24" t="inlineStr">
        <is>
          <t>OPG-020</t>
        </is>
      </c>
      <c r="B21" s="25" t="n">
        <v>2</v>
      </c>
      <c r="C21" s="26" t="inlineStr">
        <is>
          <t>Dependency graph construction</t>
        </is>
      </c>
      <c r="D21" s="27" t="inlineStr">
        <is>
          <t>Identity &amp; Dependency Ingestion</t>
        </is>
      </c>
      <c r="E21" s="27" t="inlineStr">
        <is>
          <t>Build deterministic directed graph with roots, direct/transitive depth, cycles, duplicates, and unresolved nodes</t>
        </is>
      </c>
      <c r="F21" s="28" t="inlineStr">
        <is>
          <t>P0</t>
        </is>
      </c>
      <c r="G21" s="33" t="inlineStr">
        <is>
          <t>Not Started</t>
        </is>
      </c>
      <c r="H21" s="27" t="inlineStr"/>
      <c r="I21" s="30" t="inlineStr">
        <is>
          <t>TBD</t>
        </is>
      </c>
      <c r="J21" s="30" t="inlineStr">
        <is>
          <t>OPG-012</t>
        </is>
      </c>
    </row>
    <row r="22" ht="40" customHeight="1">
      <c r="A22" s="17" t="inlineStr">
        <is>
          <t>OPG-021</t>
        </is>
      </c>
      <c r="B22" s="18" t="n">
        <v>2</v>
      </c>
      <c r="C22" s="19" t="inlineStr">
        <is>
          <t>Changed-dependency detection</t>
        </is>
      </c>
      <c r="D22" s="20" t="inlineStr">
        <is>
          <t>Identity &amp; Dependency Ingestion</t>
        </is>
      </c>
      <c r="E22" s="20" t="inlineStr">
        <is>
          <t>Given base and head manifests/locks, identify added, removed, upgraded, downgraded, source-changed components</t>
        </is>
      </c>
      <c r="F22" s="21" t="inlineStr">
        <is>
          <t>P0</t>
        </is>
      </c>
      <c r="G22" s="33" t="inlineStr">
        <is>
          <t>Not Started</t>
        </is>
      </c>
      <c r="H22" s="20" t="inlineStr"/>
      <c r="I22" s="23" t="inlineStr">
        <is>
          <t>TBD</t>
        </is>
      </c>
      <c r="J22" s="23" t="inlineStr">
        <is>
          <t>OPG-020</t>
        </is>
      </c>
    </row>
    <row r="23" ht="40" customHeight="1">
      <c r="A23" s="24" t="inlineStr">
        <is>
          <t>OPG-022</t>
        </is>
      </c>
      <c r="B23" s="25" t="n">
        <v>2</v>
      </c>
      <c r="C23" s="26" t="inlineStr">
        <is>
          <t>Monorepo discovery</t>
        </is>
      </c>
      <c r="D23" s="27" t="inlineStr">
        <is>
          <t>Identity &amp; Dependency Ingestion</t>
        </is>
      </c>
      <c r="E23" s="27" t="inlineStr">
        <is>
          <t>Discover supported manifests within configurable paths, honor ignore rules, prevent traversal outside workspace</t>
        </is>
      </c>
      <c r="F23" s="32" t="inlineStr">
        <is>
          <t>P1</t>
        </is>
      </c>
      <c r="G23" s="33" t="inlineStr">
        <is>
          <t>Not Started</t>
        </is>
      </c>
      <c r="H23" s="27" t="inlineStr"/>
      <c r="I23" s="30" t="inlineStr">
        <is>
          <t>TBD</t>
        </is>
      </c>
      <c r="J23" s="30" t="inlineStr">
        <is>
          <t>OPG-015,OPG-017</t>
        </is>
      </c>
    </row>
    <row r="24" ht="40" customHeight="1">
      <c r="A24" s="17" t="inlineStr">
        <is>
          <t>OPG-023</t>
        </is>
      </c>
      <c r="B24" s="18" t="n">
        <v>3</v>
      </c>
      <c r="C24" s="19" t="inlineStr">
        <is>
          <t>Provider interface contract</t>
        </is>
      </c>
      <c r="D24" s="20" t="inlineStr">
        <is>
          <t>Evidence Providers &amp; Data Quality</t>
        </is>
      </c>
      <c r="E24" s="20" t="inlineStr">
        <is>
          <t>Every provider returns typed status, evidence, retrieval timestamp, source URL, freshness, confidence, normalized errors</t>
        </is>
      </c>
      <c r="F24" s="21" t="inlineStr">
        <is>
          <t>P0</t>
        </is>
      </c>
      <c r="G24" s="22" t="inlineStr">
        <is>
          <t>In Progress</t>
        </is>
      </c>
      <c r="H24" s="20" t="inlineStr">
        <is>
          <t>ProviderBase + ProviderResponse contract implemented</t>
        </is>
      </c>
      <c r="I24" s="23" t="inlineStr">
        <is>
          <t>src/osspolicyguard/providers/__init__.py</t>
        </is>
      </c>
      <c r="J24" s="23" t="inlineStr">
        <is>
          <t>OPG-007</t>
        </is>
      </c>
    </row>
    <row r="25" ht="40" customHeight="1">
      <c r="A25" s="24" t="inlineStr">
        <is>
          <t>OPG-024</t>
        </is>
      </c>
      <c r="B25" s="25" t="n">
        <v>3</v>
      </c>
      <c r="C25" s="26" t="inlineStr">
        <is>
          <t>HTTP client resilience</t>
        </is>
      </c>
      <c r="D25" s="27" t="inlineStr">
        <is>
          <t>Evidence Providers &amp; Data Quality</t>
        </is>
      </c>
      <c r="E25" s="27" t="inlineStr">
        <is>
          <t>Central client enforces connect/read timeouts, bounded retries with jitter, Retry-After, rate limits, user agent, max response size</t>
        </is>
      </c>
      <c r="F25" s="28" t="inlineStr">
        <is>
          <t>P0</t>
        </is>
      </c>
      <c r="G25" s="22" t="inlineStr">
        <is>
          <t>In Progress</t>
        </is>
      </c>
      <c r="H25" s="27" t="inlineStr">
        <is>
          <t>Retry/backoff in ProviderBase</t>
        </is>
      </c>
      <c r="I25" s="30" t="inlineStr">
        <is>
          <t>src/osspolicyguard/providers/__init__.py</t>
        </is>
      </c>
      <c r="J25" s="30" t="inlineStr">
        <is>
          <t>OPG-023</t>
        </is>
      </c>
    </row>
    <row r="26" ht="40" customHeight="1">
      <c r="A26" s="17" t="inlineStr">
        <is>
          <t>OPG-025</t>
        </is>
      </c>
      <c r="B26" s="18" t="n">
        <v>3</v>
      </c>
      <c r="C26" s="19" t="inlineStr">
        <is>
          <t>Persistent evidence cache</t>
        </is>
      </c>
      <c r="D26" s="20" t="inlineStr">
        <is>
          <t>Evidence Providers &amp; Data Quality</t>
        </is>
      </c>
      <c r="E26" s="20" t="inlineStr">
        <is>
          <t>Cache provider responses by normalized request and policy-relevant headers; TTL, offline mode, corruption recovery tested</t>
        </is>
      </c>
      <c r="F26" s="21" t="inlineStr">
        <is>
          <t>P0</t>
        </is>
      </c>
      <c r="G26" s="33" t="inlineStr">
        <is>
          <t>Not Started</t>
        </is>
      </c>
      <c r="H26" s="20" t="inlineStr"/>
      <c r="I26" s="23" t="inlineStr">
        <is>
          <t>TBD</t>
        </is>
      </c>
      <c r="J26" s="23" t="inlineStr">
        <is>
          <t>OPG-023</t>
        </is>
      </c>
    </row>
    <row r="27" ht="40" customHeight="1">
      <c r="A27" s="24" t="inlineStr">
        <is>
          <t>OPG-026</t>
        </is>
      </c>
      <c r="B27" s="25" t="n">
        <v>3</v>
      </c>
      <c r="C27" s="26" t="inlineStr">
        <is>
          <t>GitHub metadata provider</t>
        </is>
      </c>
      <c r="D27" s="27" t="inlineStr">
        <is>
          <t>Evidence Providers &amp; Data Quality</t>
        </is>
      </c>
      <c r="E27" s="27" t="inlineStr">
        <is>
          <t>Collect repo state, activity, releases, contributors, security policy, archival status, branch protection using least-privilege auth</t>
        </is>
      </c>
      <c r="F27" s="28" t="inlineStr">
        <is>
          <t>P0</t>
        </is>
      </c>
      <c r="G27" s="22" t="inlineStr">
        <is>
          <t>In Progress</t>
        </is>
      </c>
      <c r="H27" s="27" t="inlineStr">
        <is>
          <t>GitHubProvider implemented with caching</t>
        </is>
      </c>
      <c r="I27" s="30" t="inlineStr">
        <is>
          <t>oss_scorer.py</t>
        </is>
      </c>
      <c r="J27" s="30" t="inlineStr">
        <is>
          <t>OPG-023</t>
        </is>
      </c>
    </row>
    <row r="28" ht="40" customHeight="1">
      <c r="A28" s="17" t="inlineStr">
        <is>
          <t>OPG-027</t>
        </is>
      </c>
      <c r="B28" s="18" t="n">
        <v>3</v>
      </c>
      <c r="C28" s="19" t="inlineStr">
        <is>
          <t>OpenSSF Scorecard provider</t>
        </is>
      </c>
      <c r="D28" s="20" t="inlineStr">
        <is>
          <t>Evidence Providers &amp; Data Quality</t>
        </is>
      </c>
      <c r="E28" s="20" t="inlineStr">
        <is>
          <t>Ingest overall and individual checks, source commit, evaluation date, unavailable status; never substitute zero for missing data</t>
        </is>
      </c>
      <c r="F28" s="21" t="inlineStr">
        <is>
          <t>P0</t>
        </is>
      </c>
      <c r="G28" s="22" t="inlineStr">
        <is>
          <t>In Progress</t>
        </is>
      </c>
      <c r="H28" s="20" t="inlineStr">
        <is>
          <t>ScorecardProvider with enabled flag</t>
        </is>
      </c>
      <c r="I28" s="23" t="inlineStr">
        <is>
          <t>oss_scorer.py</t>
        </is>
      </c>
      <c r="J28" s="23" t="inlineStr">
        <is>
          <t>OPG-023</t>
        </is>
      </c>
    </row>
    <row r="29" ht="40" customHeight="1">
      <c r="A29" s="24" t="inlineStr">
        <is>
          <t>OPG-028</t>
        </is>
      </c>
      <c r="B29" s="25" t="n">
        <v>3</v>
      </c>
      <c r="C29" s="26" t="inlineStr">
        <is>
          <t>OSV provider</t>
        </is>
      </c>
      <c r="D29" s="27" t="inlineStr">
        <is>
          <t>Evidence Providers &amp; Data Quality</t>
        </is>
      </c>
      <c r="E29" s="27" t="inlineStr">
        <is>
          <t>Query exact ecosystem/name/version; deduplicate aliases; retain advisory ranges, fixed versions, references, modified time</t>
        </is>
      </c>
      <c r="F29" s="28" t="inlineStr">
        <is>
          <t>P0</t>
        </is>
      </c>
      <c r="G29" s="22" t="inlineStr">
        <is>
          <t>In Progress</t>
        </is>
      </c>
      <c r="H29" s="27" t="inlineStr">
        <is>
          <t>check_osv() with MAL-/GHSA classification</t>
        </is>
      </c>
      <c r="I29" s="30" t="inlineStr">
        <is>
          <t>oss_scorer.py</t>
        </is>
      </c>
      <c r="J29" s="30" t="inlineStr">
        <is>
          <t>OPG-040</t>
        </is>
      </c>
    </row>
    <row r="30" ht="40" customHeight="1">
      <c r="A30" s="17" t="inlineStr">
        <is>
          <t>OPG-029</t>
        </is>
      </c>
      <c r="B30" s="18" t="n">
        <v>3</v>
      </c>
      <c r="C30" s="19" t="inlineStr">
        <is>
          <t>NVD provider</t>
        </is>
      </c>
      <c r="D30" s="20" t="inlineStr">
        <is>
          <t>Evidence Providers &amp; Data Quality</t>
        </is>
      </c>
      <c r="E30" s="20" t="inlineStr">
        <is>
          <t>Retrieve CVE, CVSS versions, CWE, CPE match rationale, publication/modification times, and rejected status</t>
        </is>
      </c>
      <c r="F30" s="31" t="inlineStr">
        <is>
          <t>P1</t>
        </is>
      </c>
      <c r="G30" s="22" t="inlineStr">
        <is>
          <t>In Progress</t>
        </is>
      </c>
      <c r="H30" s="20" t="inlineStr">
        <is>
          <t>NVD v2 API integration with EPSS enrichment</t>
        </is>
      </c>
      <c r="I30" s="23" t="inlineStr">
        <is>
          <t>oss_scorer.py</t>
        </is>
      </c>
      <c r="J30" s="23" t="inlineStr">
        <is>
          <t>OPG-030</t>
        </is>
      </c>
    </row>
    <row r="31" ht="40" customHeight="1">
      <c r="A31" s="24" t="inlineStr">
        <is>
          <t>OPG-030</t>
        </is>
      </c>
      <c r="B31" s="25" t="n">
        <v>3</v>
      </c>
      <c r="C31" s="26" t="inlineStr">
        <is>
          <t>EPSS provider</t>
        </is>
      </c>
      <c r="D31" s="27" t="inlineStr">
        <is>
          <t>Evidence Providers &amp; Data Quality</t>
        </is>
      </c>
      <c r="E31" s="27" t="inlineStr">
        <is>
          <t>Retrieve probability, percentile, model date, and score date for each CVE; stale or absent scores explicitly represented</t>
        </is>
      </c>
      <c r="F31" s="28" t="inlineStr">
        <is>
          <t>P0</t>
        </is>
      </c>
      <c r="G31" s="22" t="inlineStr">
        <is>
          <t>In Progress</t>
        </is>
      </c>
      <c r="H31" s="27" t="inlineStr">
        <is>
          <t>EPSS batch enrichment per CVE list</t>
        </is>
      </c>
      <c r="I31" s="30" t="inlineStr">
        <is>
          <t>oss_scorer.py</t>
        </is>
      </c>
      <c r="J31" s="30" t="inlineStr">
        <is>
          <t>OPG-029</t>
        </is>
      </c>
    </row>
    <row r="32" ht="40" customHeight="1">
      <c r="A32" s="17" t="inlineStr">
        <is>
          <t>OPG-031</t>
        </is>
      </c>
      <c r="B32" s="18" t="n">
        <v>3</v>
      </c>
      <c r="C32" s="19" t="inlineStr">
        <is>
          <t>Registry metadata providers</t>
        </is>
      </c>
      <c r="D32" s="20" t="inlineStr">
        <is>
          <t>Evidence Providers &amp; Data Quality</t>
        </is>
      </c>
      <c r="E32" s="20" t="inlineStr">
        <is>
          <t>PyPI and npm providers for versions, publish times, maintainers, deprecation, downloads, dist integrity</t>
        </is>
      </c>
      <c r="F32" s="21" t="inlineStr">
        <is>
          <t>P0</t>
        </is>
      </c>
      <c r="G32" s="22" t="inlineStr">
        <is>
          <t>In Progress</t>
        </is>
      </c>
      <c r="H32" s="20" t="inlineStr">
        <is>
          <t>7-registry download-count system implemented</t>
        </is>
      </c>
      <c r="I32" s="23" t="inlineStr">
        <is>
          <t>oss_scorer.py</t>
        </is>
      </c>
      <c r="J32" s="23" t="inlineStr">
        <is>
          <t>OPG-023</t>
        </is>
      </c>
    </row>
    <row r="33" ht="40" customHeight="1">
      <c r="A33" s="24" t="inlineStr">
        <is>
          <t>OPG-032</t>
        </is>
      </c>
      <c r="B33" s="25" t="n">
        <v>3</v>
      </c>
      <c r="C33" s="26" t="inlineStr">
        <is>
          <t>KEV and exploitation provider</t>
        </is>
      </c>
      <c r="D33" s="27" t="inlineStr">
        <is>
          <t>Evidence Providers &amp; Data Quality</t>
        </is>
      </c>
      <c r="E33" s="27" t="inlineStr">
        <is>
          <t>Correlate CISA KEV by CVE; record catalog date, due date, ransomware flag, source</t>
        </is>
      </c>
      <c r="F33" s="28" t="inlineStr">
        <is>
          <t>P0</t>
        </is>
      </c>
      <c r="G33" s="29" t="inlineStr">
        <is>
          <t>Done</t>
        </is>
      </c>
      <c r="H33" s="27" t="inlineStr">
        <is>
          <t>KevProvider with TTL cache</t>
        </is>
      </c>
      <c r="I33" s="30" t="inlineStr">
        <is>
          <t>src/osspolicyguard/kev.py</t>
        </is>
      </c>
      <c r="J33" s="30" t="inlineStr">
        <is>
          <t>OPG-029</t>
        </is>
      </c>
    </row>
    <row r="34" ht="40" customHeight="1">
      <c r="A34" s="17" t="inlineStr">
        <is>
          <t>OPG-033</t>
        </is>
      </c>
      <c r="B34" s="18" t="n">
        <v>3</v>
      </c>
      <c r="C34" s="19" t="inlineStr">
        <is>
          <t>Evidence conflict resolution</t>
        </is>
      </c>
      <c r="D34" s="20" t="inlineStr">
        <is>
          <t>Evidence Providers &amp; Data Quality</t>
        </is>
      </c>
      <c r="E34" s="20" t="inlineStr">
        <is>
          <t>When providers disagree, preserve each assertion, rank authority/recency, show chosen value and rule, flag unresolved conflicts</t>
        </is>
      </c>
      <c r="F34" s="31" t="inlineStr">
        <is>
          <t>P1</t>
        </is>
      </c>
      <c r="G34" s="33" t="inlineStr">
        <is>
          <t>Not Started</t>
        </is>
      </c>
      <c r="H34" s="20" t="inlineStr"/>
      <c r="I34" s="23" t="inlineStr">
        <is>
          <t>TBD</t>
        </is>
      </c>
      <c r="J34" s="23" t="inlineStr">
        <is>
          <t>OPG-023</t>
        </is>
      </c>
    </row>
    <row r="35" ht="40" customHeight="1">
      <c r="A35" s="24" t="inlineStr">
        <is>
          <t>OPG-034</t>
        </is>
      </c>
      <c r="B35" s="25" t="n">
        <v>4</v>
      </c>
      <c r="C35" s="26" t="inlineStr">
        <is>
          <t>Version-aware vulnerability matching</t>
        </is>
      </c>
      <c r="D35" s="27" t="inlineStr">
        <is>
          <t>Vulnerability &amp; Exploitability</t>
        </is>
      </c>
      <c r="E35" s="27" t="inlineStr">
        <is>
          <t>Match advisories to exact resolved versions using ecosystem semantics; boundary, prerelease, epoch tests prevent false matches</t>
        </is>
      </c>
      <c r="F35" s="28" t="inlineStr">
        <is>
          <t>P0</t>
        </is>
      </c>
      <c r="G35" s="33" t="inlineStr">
        <is>
          <t>Not Started</t>
        </is>
      </c>
      <c r="H35" s="27" t="inlineStr"/>
      <c r="I35" s="30" t="inlineStr">
        <is>
          <t>TBD</t>
        </is>
      </c>
      <c r="J35" s="30" t="inlineStr">
        <is>
          <t>OPG-012,OPG-028</t>
        </is>
      </c>
    </row>
    <row r="36" ht="40" customHeight="1">
      <c r="A36" s="17" t="inlineStr">
        <is>
          <t>OPG-035</t>
        </is>
      </c>
      <c r="B36" s="18" t="n">
        <v>4</v>
      </c>
      <c r="C36" s="19" t="inlineStr">
        <is>
          <t>Reachability evidence model</t>
        </is>
      </c>
      <c r="D36" s="20" t="inlineStr">
        <is>
          <t>Vulnerability &amp; Exploitability</t>
        </is>
      </c>
      <c r="E36" s="20" t="inlineStr">
        <is>
          <t>Represent confirmed, likely, unknown, unreachable paths with method and evidence; unknown never becomes unreachable by default</t>
        </is>
      </c>
      <c r="F36" s="31" t="inlineStr">
        <is>
          <t>P1</t>
        </is>
      </c>
      <c r="G36" s="33" t="inlineStr">
        <is>
          <t>Not Started</t>
        </is>
      </c>
      <c r="H36" s="20" t="inlineStr"/>
      <c r="I36" s="23" t="inlineStr">
        <is>
          <t>TBD</t>
        </is>
      </c>
      <c r="J36" s="23" t="inlineStr">
        <is>
          <t>OPG-020</t>
        </is>
      </c>
    </row>
    <row r="37" ht="40" customHeight="1">
      <c r="A37" s="24" t="inlineStr">
        <is>
          <t>OPG-036</t>
        </is>
      </c>
      <c r="B37" s="25" t="n">
        <v>4</v>
      </c>
      <c r="C37" s="26" t="inlineStr">
        <is>
          <t>VEX support</t>
        </is>
      </c>
      <c r="D37" s="27" t="inlineStr">
        <is>
          <t>Vulnerability &amp; Exploitability</t>
        </is>
      </c>
      <c r="E37" s="27" t="inlineStr">
        <is>
          <t>Ingest CycloneDX and CSAF/OpenVEX statements, validate signer/issuer policy, respect expiry, retain justification</t>
        </is>
      </c>
      <c r="F37" s="32" t="inlineStr">
        <is>
          <t>P1</t>
        </is>
      </c>
      <c r="G37" s="33" t="inlineStr">
        <is>
          <t>Not Started</t>
        </is>
      </c>
      <c r="H37" s="27" t="inlineStr"/>
      <c r="I37" s="30" t="inlineStr">
        <is>
          <t>TBD</t>
        </is>
      </c>
      <c r="J37" s="30" t="inlineStr">
        <is>
          <t>OPG-028</t>
        </is>
      </c>
    </row>
    <row r="38" ht="40" customHeight="1">
      <c r="A38" s="17" t="inlineStr">
        <is>
          <t>OPG-037</t>
        </is>
      </c>
      <c r="B38" s="18" t="n">
        <v>4</v>
      </c>
      <c r="C38" s="19" t="inlineStr">
        <is>
          <t>Exploitability-adjusted severity</t>
        </is>
      </c>
      <c r="D38" s="20" t="inlineStr">
        <is>
          <t>Vulnerability &amp; Exploitability</t>
        </is>
      </c>
      <c r="E38" s="20" t="inlineStr">
        <is>
          <t>Compute documented risk contribution using CVSS, EPSS, KEV, reachability, exposure, criticality; each factor in explanation</t>
        </is>
      </c>
      <c r="F38" s="21" t="inlineStr">
        <is>
          <t>P0</t>
        </is>
      </c>
      <c r="G38" s="33" t="inlineStr">
        <is>
          <t>Not Started</t>
        </is>
      </c>
      <c r="H38" s="20" t="inlineStr"/>
      <c r="I38" s="23" t="inlineStr">
        <is>
          <t>TBD</t>
        </is>
      </c>
      <c r="J38" s="23" t="inlineStr">
        <is>
          <t>OPG-029,OPG-030,OPG-032</t>
        </is>
      </c>
    </row>
    <row r="39" ht="40" customHeight="1">
      <c r="A39" s="24" t="inlineStr">
        <is>
          <t>OPG-038</t>
        </is>
      </c>
      <c r="B39" s="25" t="n">
        <v>4</v>
      </c>
      <c r="C39" s="26" t="inlineStr">
        <is>
          <t>Fix availability analysis</t>
        </is>
      </c>
      <c r="D39" s="27" t="inlineStr">
        <is>
          <t>Vulnerability &amp; Exploitability</t>
        </is>
      </c>
      <c r="E39" s="27" t="inlineStr">
        <is>
          <t>Report first fixed version, safe upgrade candidates, breaking-change boundary, and no-fix status</t>
        </is>
      </c>
      <c r="F39" s="28" t="inlineStr">
        <is>
          <t>P0</t>
        </is>
      </c>
      <c r="G39" s="33" t="inlineStr">
        <is>
          <t>Not Started</t>
        </is>
      </c>
      <c r="H39" s="27" t="inlineStr"/>
      <c r="I39" s="30" t="inlineStr">
        <is>
          <t>TBD</t>
        </is>
      </c>
      <c r="J39" s="30" t="inlineStr">
        <is>
          <t>OPG-034</t>
        </is>
      </c>
    </row>
    <row r="40" ht="40" customHeight="1">
      <c r="A40" s="17" t="inlineStr">
        <is>
          <t>OPG-039</t>
        </is>
      </c>
      <c r="B40" s="18" t="n">
        <v>4</v>
      </c>
      <c r="C40" s="19" t="inlineStr">
        <is>
          <t>Vulnerability aging</t>
        </is>
      </c>
      <c r="D40" s="20" t="inlineStr">
        <is>
          <t>Vulnerability &amp; Exploitability</t>
        </is>
      </c>
      <c r="E40" s="20" t="inlineStr">
        <is>
          <t>Calculate time since publication, fix availability, policy SLA breach using injected clock; timezone and future-date tested</t>
        </is>
      </c>
      <c r="F40" s="31" t="inlineStr">
        <is>
          <t>P1</t>
        </is>
      </c>
      <c r="G40" s="33" t="inlineStr">
        <is>
          <t>Not Started</t>
        </is>
      </c>
      <c r="H40" s="20" t="inlineStr"/>
      <c r="I40" s="23" t="inlineStr">
        <is>
          <t>TBD</t>
        </is>
      </c>
      <c r="J40" s="23" t="inlineStr">
        <is>
          <t>OPG-034</t>
        </is>
      </c>
    </row>
    <row r="41" ht="40" customHeight="1">
      <c r="A41" s="24" t="inlineStr">
        <is>
          <t>OPG-040</t>
        </is>
      </c>
      <c r="B41" s="25" t="n">
        <v>4</v>
      </c>
      <c r="C41" s="26" t="inlineStr">
        <is>
          <t>Advisory deduplication</t>
        </is>
      </c>
      <c r="D41" s="27" t="inlineStr">
        <is>
          <t>Vulnerability &amp; Exploitability</t>
        </is>
      </c>
      <c r="E41" s="27" t="inlineStr">
        <is>
          <t>Merge CVE, GHSA, OSV, vendor aliases without losing source-specific severity, affected ranges, references, disagreement</t>
        </is>
      </c>
      <c r="F41" s="28" t="inlineStr">
        <is>
          <t>P0</t>
        </is>
      </c>
      <c r="G41" s="29" t="inlineStr">
        <is>
          <t>Done</t>
        </is>
      </c>
      <c r="H41" s="27" t="inlineStr">
        <is>
          <t>Union-find deduplication across all alias types</t>
        </is>
      </c>
      <c r="I41" s="30" t="inlineStr">
        <is>
          <t>src/osspolicyguard/advisory_dedup.py</t>
        </is>
      </c>
      <c r="J41" s="30" t="inlineStr">
        <is>
          <t>OPG-028</t>
        </is>
      </c>
    </row>
    <row r="42" ht="40" customHeight="1">
      <c r="A42" s="17" t="inlineStr">
        <is>
          <t>OPG-041</t>
        </is>
      </c>
      <c r="B42" s="18" t="n">
        <v>4</v>
      </c>
      <c r="C42" s="19" t="inlineStr">
        <is>
          <t>Criticality-aware thresholds</t>
        </is>
      </c>
      <c r="D42" s="20" t="inlineStr">
        <is>
          <t>Vulnerability &amp; Exploitability</t>
        </is>
      </c>
      <c r="E42" s="20" t="inlineStr">
        <is>
          <t>Application and component criticality profiles with explicit threshold differences; policy simulation demonstrates deterministic decisions</t>
        </is>
      </c>
      <c r="F42" s="21" t="inlineStr">
        <is>
          <t>P0</t>
        </is>
      </c>
      <c r="G42" s="33" t="inlineStr">
        <is>
          <t>Not Started</t>
        </is>
      </c>
      <c r="H42" s="20" t="inlineStr"/>
      <c r="I42" s="23" t="inlineStr">
        <is>
          <t>TBD</t>
        </is>
      </c>
      <c r="J42" s="23" t="inlineStr">
        <is>
          <t>OPG-056</t>
        </is>
      </c>
    </row>
    <row r="43" ht="40" customHeight="1">
      <c r="A43" s="24" t="inlineStr">
        <is>
          <t>OPG-042</t>
        </is>
      </c>
      <c r="B43" s="25" t="n">
        <v>4</v>
      </c>
      <c r="C43" s="26" t="inlineStr">
        <is>
          <t>Compensating control input</t>
        </is>
      </c>
      <c r="D43" s="27" t="inlineStr">
        <is>
          <t>Vulnerability &amp; Exploitability</t>
        </is>
      </c>
      <c r="E43" s="27" t="inlineStr">
        <is>
          <t>Signed, time-bounded attestations for isolation/mitigation; cannot suppress malicious-package blocks</t>
        </is>
      </c>
      <c r="F43" s="32" t="inlineStr">
        <is>
          <t>P1</t>
        </is>
      </c>
      <c r="G43" s="33" t="inlineStr">
        <is>
          <t>Not Started</t>
        </is>
      </c>
      <c r="H43" s="27" t="inlineStr"/>
      <c r="I43" s="30" t="inlineStr">
        <is>
          <t>TBD</t>
        </is>
      </c>
      <c r="J43" s="30" t="inlineStr">
        <is>
          <t>OPG-056</t>
        </is>
      </c>
    </row>
    <row r="44" ht="40" customHeight="1">
      <c r="A44" s="17" t="inlineStr">
        <is>
          <t>OPG-043</t>
        </is>
      </c>
      <c r="B44" s="18" t="n">
        <v>4</v>
      </c>
      <c r="C44" s="19" t="inlineStr">
        <is>
          <t>Remediation ranking</t>
        </is>
      </c>
      <c r="D44" s="20" t="inlineStr">
        <is>
          <t>Vulnerability &amp; Exploitability</t>
        </is>
      </c>
      <c r="E44" s="20" t="inlineStr">
        <is>
          <t>Rank upgrade, replace, isolate, patch, accept by risk reduction, compatibility cost, evidence confidence</t>
        </is>
      </c>
      <c r="F44" s="31" t="inlineStr">
        <is>
          <t>P1</t>
        </is>
      </c>
      <c r="G44" s="33" t="inlineStr">
        <is>
          <t>Not Started</t>
        </is>
      </c>
      <c r="H44" s="20" t="inlineStr"/>
      <c r="I44" s="23" t="inlineStr">
        <is>
          <t>TBD</t>
        </is>
      </c>
      <c r="J44" s="23" t="inlineStr">
        <is>
          <t>OPG-037,OPG-038</t>
        </is>
      </c>
    </row>
    <row r="45" ht="40" customHeight="1">
      <c r="A45" s="24" t="inlineStr">
        <is>
          <t>OPG-044</t>
        </is>
      </c>
      <c r="B45" s="25" t="n">
        <v>4</v>
      </c>
      <c r="C45" s="26" t="inlineStr">
        <is>
          <t>Vulnerability result regression suite</t>
        </is>
      </c>
      <c r="D45" s="27" t="inlineStr">
        <is>
          <t>Vulnerability &amp; Exploitability</t>
        </is>
      </c>
      <c r="E45" s="27" t="inlineStr">
        <is>
          <t>Curated fixtures for known vulnerable, fixed, disputed, withdrawn, prerelease, no-data cases</t>
        </is>
      </c>
      <c r="F45" s="28" t="inlineStr">
        <is>
          <t>P0</t>
        </is>
      </c>
      <c r="G45" s="33" t="inlineStr">
        <is>
          <t>Not Started</t>
        </is>
      </c>
      <c r="H45" s="27" t="inlineStr"/>
      <c r="I45" s="30" t="inlineStr">
        <is>
          <t>TBD</t>
        </is>
      </c>
      <c r="J45" s="30" t="inlineStr">
        <is>
          <t>OPG-034</t>
        </is>
      </c>
    </row>
    <row r="46" ht="40" customHeight="1">
      <c r="A46" s="17" t="inlineStr">
        <is>
          <t>OPG-045</t>
        </is>
      </c>
      <c r="B46" s="18" t="n">
        <v>5</v>
      </c>
      <c r="C46" s="19" t="inlineStr">
        <is>
          <t>Malicious package feed aggregation</t>
        </is>
      </c>
      <c r="D46" s="20" t="inlineStr">
        <is>
          <t>Supply Chain &amp; Malicious Package Defense</t>
        </is>
      </c>
      <c r="E46" s="20" t="inlineStr">
        <is>
          <t>Ingest at least two authoritative sources, preserve confidence and evidence, deduplicate aliases, fail closed under high-confidence rules</t>
        </is>
      </c>
      <c r="F46" s="21" t="inlineStr">
        <is>
          <t>P0</t>
        </is>
      </c>
      <c r="G46" s="22" t="inlineStr">
        <is>
          <t>In Progress</t>
        </is>
      </c>
      <c r="H46" s="20" t="inlineStr">
        <is>
          <t>OSV MAL- advisory integration + malicious-packages flag</t>
        </is>
      </c>
      <c r="I46" s="23" t="inlineStr">
        <is>
          <t>oss_scorer.py</t>
        </is>
      </c>
      <c r="J46" s="23" t="inlineStr">
        <is>
          <t>OPG-028</t>
        </is>
      </c>
    </row>
    <row r="47" ht="40" customHeight="1">
      <c r="A47" s="24" t="inlineStr">
        <is>
          <t>OPG-046</t>
        </is>
      </c>
      <c r="B47" s="25" t="n">
        <v>5</v>
      </c>
      <c r="C47" s="26" t="inlineStr">
        <is>
          <t>Typosquatting similarity detection</t>
        </is>
      </c>
      <c r="D47" s="27" t="inlineStr">
        <is>
          <t>Supply Chain &amp; Malicious Package Defense</t>
        </is>
      </c>
      <c r="E47" s="27" t="inlineStr">
        <is>
          <t>Detect edit-distance, homoglyph, separator, scope, common-prefix variants; benchmark precision/recall on labeled fixtures</t>
        </is>
      </c>
      <c r="F47" s="28" t="inlineStr">
        <is>
          <t>P0</t>
        </is>
      </c>
      <c r="G47" s="29" t="inlineStr">
        <is>
          <t>Done</t>
        </is>
      </c>
      <c r="H47" s="27" t="inlineStr">
        <is>
          <t>Levenshtein + homoglyph + separator detection, 120+ popular packages</t>
        </is>
      </c>
      <c r="I47" s="30" t="inlineStr">
        <is>
          <t>src/osspolicyguard/typosquatting.py</t>
        </is>
      </c>
      <c r="J47" s="30" t="inlineStr"/>
    </row>
    <row r="48" ht="40" customHeight="1">
      <c r="A48" s="17" t="inlineStr">
        <is>
          <t>OPG-047</t>
        </is>
      </c>
      <c r="B48" s="18" t="n">
        <v>5</v>
      </c>
      <c r="C48" s="19" t="inlineStr">
        <is>
          <t>Dependency-confusion detection</t>
        </is>
      </c>
      <c r="D48" s="20" t="inlineStr">
        <is>
          <t>Supply Chain &amp; Malicious Package Defense</t>
        </is>
      </c>
      <c r="E48" s="20" t="inlineStr">
        <is>
          <t>Flag public packages colliding with configured internal namespaces; require exact evidence and support allowlists</t>
        </is>
      </c>
      <c r="F48" s="21" t="inlineStr">
        <is>
          <t>P0</t>
        </is>
      </c>
      <c r="G48" s="29" t="inlineStr">
        <is>
          <t>Done</t>
        </is>
      </c>
      <c r="H48" s="20" t="inlineStr">
        <is>
          <t>Pattern-based internal namespace detection</t>
        </is>
      </c>
      <c r="I48" s="23" t="inlineStr">
        <is>
          <t>src/osspolicyguard/dep_confusion.py</t>
        </is>
      </c>
      <c r="J48" s="23" t="inlineStr"/>
    </row>
    <row r="49" ht="40" customHeight="1">
      <c r="A49" s="24" t="inlineStr">
        <is>
          <t>OPG-048</t>
        </is>
      </c>
      <c r="B49" s="25" t="n">
        <v>5</v>
      </c>
      <c r="C49" s="26" t="inlineStr">
        <is>
          <t>Artifact integrity verification</t>
        </is>
      </c>
      <c r="D49" s="27" t="inlineStr">
        <is>
          <t>Supply Chain &amp; Malicious Package Defense</t>
        </is>
      </c>
      <c r="E49" s="27" t="inlineStr">
        <is>
          <t>Verify registry integrity hashes and downloaded artifact digest; mismatch produces non-overridable block</t>
        </is>
      </c>
      <c r="F49" s="28" t="inlineStr">
        <is>
          <t>P0</t>
        </is>
      </c>
      <c r="G49" s="33" t="inlineStr">
        <is>
          <t>Not Started</t>
        </is>
      </c>
      <c r="H49" s="27" t="inlineStr"/>
      <c r="I49" s="30" t="inlineStr">
        <is>
          <t>TBD</t>
        </is>
      </c>
      <c r="J49" s="30" t="inlineStr">
        <is>
          <t>OPG-031</t>
        </is>
      </c>
    </row>
    <row r="50" ht="40" customHeight="1">
      <c r="A50" s="17" t="inlineStr">
        <is>
          <t>OPG-049</t>
        </is>
      </c>
      <c r="B50" s="18" t="n">
        <v>5</v>
      </c>
      <c r="C50" s="19" t="inlineStr">
        <is>
          <t>Signed release verification</t>
        </is>
      </c>
      <c r="D50" s="20" t="inlineStr">
        <is>
          <t>Supply Chain &amp; Malicious Package Defense</t>
        </is>
      </c>
      <c r="E50" s="20" t="inlineStr">
        <is>
          <t>Verify Sigstore attestations, identity constraints, transparency-log inclusion, artifact binding; distinguish absent from invalid</t>
        </is>
      </c>
      <c r="F50" s="31" t="inlineStr">
        <is>
          <t>P1</t>
        </is>
      </c>
      <c r="G50" s="33" t="inlineStr">
        <is>
          <t>Not Started</t>
        </is>
      </c>
      <c r="H50" s="20" t="inlineStr"/>
      <c r="I50" s="23" t="inlineStr">
        <is>
          <t>TBD</t>
        </is>
      </c>
      <c r="J50" s="23" t="inlineStr">
        <is>
          <t>OPG-095</t>
        </is>
      </c>
    </row>
    <row r="51" ht="40" customHeight="1">
      <c r="A51" s="24" t="inlineStr">
        <is>
          <t>OPG-050</t>
        </is>
      </c>
      <c r="B51" s="25" t="n">
        <v>5</v>
      </c>
      <c r="C51" s="26" t="inlineStr">
        <is>
          <t>SLSA provenance assessment</t>
        </is>
      </c>
      <c r="D51" s="27" t="inlineStr">
        <is>
          <t>Supply Chain &amp; Malicious Package Defense</t>
        </is>
      </c>
      <c r="E51" s="27" t="inlineStr">
        <is>
          <t>Validate provenance subject digest, builder identity, build type, source revision, policy level; report exact failed predicates</t>
        </is>
      </c>
      <c r="F51" s="32" t="inlineStr">
        <is>
          <t>P1</t>
        </is>
      </c>
      <c r="G51" s="33" t="inlineStr">
        <is>
          <t>Not Started</t>
        </is>
      </c>
      <c r="H51" s="27" t="inlineStr"/>
      <c r="I51" s="30" t="inlineStr">
        <is>
          <t>TBD</t>
        </is>
      </c>
      <c r="J51" s="30" t="inlineStr">
        <is>
          <t>OPG-095</t>
        </is>
      </c>
    </row>
    <row r="52" ht="40" customHeight="1">
      <c r="A52" s="17" t="inlineStr">
        <is>
          <t>OPG-051</t>
        </is>
      </c>
      <c r="B52" s="18" t="n">
        <v>5</v>
      </c>
      <c r="C52" s="19" t="inlineStr">
        <is>
          <t>Release anomaly detection</t>
        </is>
      </c>
      <c r="D52" s="20" t="inlineStr">
        <is>
          <t>Supply Chain &amp; Malicious Package Defense</t>
        </is>
      </c>
      <c r="E52" s="20" t="inlineStr">
        <is>
          <t>Detect unusual publisher, maintainer, release cadence, version jump, install-script, binary changes vs auditable baseline</t>
        </is>
      </c>
      <c r="F52" s="31" t="inlineStr">
        <is>
          <t>P1</t>
        </is>
      </c>
      <c r="G52" s="33" t="inlineStr">
        <is>
          <t>Not Started</t>
        </is>
      </c>
      <c r="H52" s="20" t="inlineStr"/>
      <c r="I52" s="23" t="inlineStr">
        <is>
          <t>TBD</t>
        </is>
      </c>
      <c r="J52" s="23" t="inlineStr">
        <is>
          <t>OPG-026</t>
        </is>
      </c>
    </row>
    <row r="53" ht="40" customHeight="1">
      <c r="A53" s="24" t="inlineStr">
        <is>
          <t>OPG-052</t>
        </is>
      </c>
      <c r="B53" s="25" t="n">
        <v>5</v>
      </c>
      <c r="C53" s="26" t="inlineStr">
        <is>
          <t>Ownership-transfer risk</t>
        </is>
      </c>
      <c r="D53" s="27" t="inlineStr">
        <is>
          <t>Supply Chain &amp; Malicious Package Defense</t>
        </is>
      </c>
      <c r="E53" s="27" t="inlineStr">
        <is>
          <t>Identify maintainer removals/additions and repo/package ownership transfer; weight by recency; require review for high-impact changes</t>
        </is>
      </c>
      <c r="F53" s="32" t="inlineStr">
        <is>
          <t>P1</t>
        </is>
      </c>
      <c r="G53" s="33" t="inlineStr">
        <is>
          <t>Not Started</t>
        </is>
      </c>
      <c r="H53" s="27" t="inlineStr"/>
      <c r="I53" s="30" t="inlineStr">
        <is>
          <t>TBD</t>
        </is>
      </c>
      <c r="J53" s="30" t="inlineStr">
        <is>
          <t>OPG-026</t>
        </is>
      </c>
    </row>
    <row r="54" ht="40" customHeight="1">
      <c r="A54" s="17" t="inlineStr">
        <is>
          <t>OPG-053</t>
        </is>
      </c>
      <c r="B54" s="18" t="n">
        <v>5</v>
      </c>
      <c r="C54" s="19" t="inlineStr">
        <is>
          <t>Install-script and binary inventory</t>
        </is>
      </c>
      <c r="D54" s="20" t="inlineStr">
        <is>
          <t>Supply Chain &amp; Malicious Package Defense</t>
        </is>
      </c>
      <c r="E54" s="20" t="inlineStr">
        <is>
          <t>List lifecycle scripts, native binaries, obfuscated payloads, network-capable code, newly introduced executables without executing</t>
        </is>
      </c>
      <c r="F54" s="21" t="inlineStr">
        <is>
          <t>P0</t>
        </is>
      </c>
      <c r="G54" s="29" t="inlineStr">
        <is>
          <t>Done</t>
        </is>
      </c>
      <c r="H54" s="20" t="inlineStr">
        <is>
          <t>npm .tgz and PyPI .whl analysis with size/path limits</t>
        </is>
      </c>
      <c r="I54" s="23" t="inlineStr">
        <is>
          <t>src/osspolicyguard/artifact_inventory.py</t>
        </is>
      </c>
      <c r="J54" s="23" t="inlineStr"/>
    </row>
    <row r="55" ht="40" customHeight="1">
      <c r="A55" s="24" t="inlineStr">
        <is>
          <t>OPG-054</t>
        </is>
      </c>
      <c r="B55" s="25" t="n">
        <v>5</v>
      </c>
      <c r="C55" s="26" t="inlineStr">
        <is>
          <t>Package content diff</t>
        </is>
      </c>
      <c r="D55" s="27" t="inlineStr">
        <is>
          <t>Supply Chain &amp; Malicious Package Defense</t>
        </is>
      </c>
      <c r="E55" s="27" t="inlineStr">
        <is>
          <t>Compare candidate and previously approved artifacts by file, permission, hash, script, dependency, binary changes</t>
        </is>
      </c>
      <c r="F55" s="32" t="inlineStr">
        <is>
          <t>P1</t>
        </is>
      </c>
      <c r="G55" s="33" t="inlineStr">
        <is>
          <t>Not Started</t>
        </is>
      </c>
      <c r="H55" s="27" t="inlineStr"/>
      <c r="I55" s="30" t="inlineStr">
        <is>
          <t>TBD</t>
        </is>
      </c>
      <c r="J55" s="30" t="inlineStr">
        <is>
          <t>OPG-053</t>
        </is>
      </c>
    </row>
    <row r="56" ht="40" customHeight="1">
      <c r="A56" s="17" t="inlineStr">
        <is>
          <t>OPG-055</t>
        </is>
      </c>
      <c r="B56" s="18" t="n">
        <v>5</v>
      </c>
      <c r="C56" s="19" t="inlineStr">
        <is>
          <t>Quarantine workflow</t>
        </is>
      </c>
      <c r="D56" s="20" t="inlineStr">
        <is>
          <t>Supply Chain &amp; Malicious Package Defense</t>
        </is>
      </c>
      <c r="E56" s="20" t="inlineStr">
        <is>
          <t>Store suspected artifacts and metadata in restricted location, prevent normal installation, assign case ID, analyst disposition</t>
        </is>
      </c>
      <c r="F56" s="31" t="inlineStr">
        <is>
          <t>P1</t>
        </is>
      </c>
      <c r="G56" s="33" t="inlineStr">
        <is>
          <t>Not Started</t>
        </is>
      </c>
      <c r="H56" s="20" t="inlineStr"/>
      <c r="I56" s="23" t="inlineStr">
        <is>
          <t>TBD</t>
        </is>
      </c>
      <c r="J56" s="23" t="inlineStr">
        <is>
          <t>OPG-045</t>
        </is>
      </c>
    </row>
    <row r="57" ht="40" customHeight="1">
      <c r="A57" s="24" t="inlineStr">
        <is>
          <t>OPG-056</t>
        </is>
      </c>
      <c r="B57" s="25" t="n">
        <v>6</v>
      </c>
      <c r="C57" s="26" t="inlineStr">
        <is>
          <t>Versioned policy-as-code</t>
        </is>
      </c>
      <c r="D57" s="27" t="inlineStr">
        <is>
          <t>Policy Engine &amp; Explainability</t>
        </is>
      </c>
      <c r="E57" s="27" t="inlineStr">
        <is>
          <t>Policy bundles declare schema, semver, effective date, owner, changelog; evaluation records exact policy digest</t>
        </is>
      </c>
      <c r="F57" s="28" t="inlineStr">
        <is>
          <t>P0</t>
        </is>
      </c>
      <c r="G57" s="29" t="inlineStr">
        <is>
          <t>Done</t>
        </is>
      </c>
      <c r="H57" s="27" t="inlineStr">
        <is>
          <t>PolicyBundle dataclass with SHA-256 digest</t>
        </is>
      </c>
      <c r="I57" s="30" t="inlineStr">
        <is>
          <t>src/osspolicyguard/policy.py</t>
        </is>
      </c>
      <c r="J57" s="30" t="inlineStr"/>
    </row>
    <row r="58" ht="40" customHeight="1">
      <c r="A58" s="17" t="inlineStr">
        <is>
          <t>OPG-057</t>
        </is>
      </c>
      <c r="B58" s="18" t="n">
        <v>6</v>
      </c>
      <c r="C58" s="19" t="inlineStr">
        <is>
          <t>Deterministic evaluation</t>
        </is>
      </c>
      <c r="D58" s="20" t="inlineStr">
        <is>
          <t>Policy Engine &amp; Explainability</t>
        </is>
      </c>
      <c r="E58" s="20" t="inlineStr">
        <is>
          <t>Identical normalized evidence, policy digest, tool version produce byte-stable decisions except documented timestamps</t>
        </is>
      </c>
      <c r="F58" s="21" t="inlineStr">
        <is>
          <t>P0</t>
        </is>
      </c>
      <c r="G58" s="33" t="inlineStr">
        <is>
          <t>Not Started</t>
        </is>
      </c>
      <c r="H58" s="20" t="inlineStr"/>
      <c r="I58" s="23" t="inlineStr">
        <is>
          <t>TBD</t>
        </is>
      </c>
      <c r="J58" s="23" t="inlineStr">
        <is>
          <t>OPG-056</t>
        </is>
      </c>
    </row>
    <row r="59" ht="40" customHeight="1">
      <c r="A59" s="24" t="inlineStr">
        <is>
          <t>OPG-058</t>
        </is>
      </c>
      <c r="B59" s="25" t="n">
        <v>6</v>
      </c>
      <c r="C59" s="26" t="inlineStr">
        <is>
          <t>Three-state decision contract</t>
        </is>
      </c>
      <c r="D59" s="27" t="inlineStr">
        <is>
          <t>Policy Engine &amp; Explainability</t>
        </is>
      </c>
      <c r="E59" s="27" t="inlineStr">
        <is>
          <t>APPROVED, REVIEW, PROHIBITED are mutually exclusive, derived from published rules; boundary tests cover every threshold</t>
        </is>
      </c>
      <c r="F59" s="28" t="inlineStr">
        <is>
          <t>P0</t>
        </is>
      </c>
      <c r="G59" s="29" t="inlineStr">
        <is>
          <t>Done</t>
        </is>
      </c>
      <c r="H59" s="27" t="inlineStr">
        <is>
          <t>Decision logic with threshold testing</t>
        </is>
      </c>
      <c r="I59" s="30" t="inlineStr">
        <is>
          <t>oss_scorer.py</t>
        </is>
      </c>
      <c r="J59" s="30" t="inlineStr">
        <is>
          <t>OPG-059</t>
        </is>
      </c>
    </row>
    <row r="60" ht="40" customHeight="1">
      <c r="A60" s="17" t="inlineStr">
        <is>
          <t>OPG-059</t>
        </is>
      </c>
      <c r="B60" s="18" t="n">
        <v>6</v>
      </c>
      <c r="C60" s="19" t="inlineStr">
        <is>
          <t>Score direction and bounds</t>
        </is>
      </c>
      <c r="D60" s="20" t="inlineStr">
        <is>
          <t>Policy Engine &amp; Explainability</t>
        </is>
      </c>
      <c r="E60" s="20" t="inlineStr">
        <is>
          <t>All dimensions and total score 0-100 where higher=safer; weights sum to 1.0, deductions capped, property tests prevent out-of-range</t>
        </is>
      </c>
      <c r="F60" s="21" t="inlineStr">
        <is>
          <t>P0</t>
        </is>
      </c>
      <c r="G60" s="22" t="inlineStr">
        <is>
          <t>In Progress</t>
        </is>
      </c>
      <c r="H60" s="20" t="inlineStr">
        <is>
          <t>Weights sum validation + gap fixes implemented</t>
        </is>
      </c>
      <c r="I60" s="23" t="inlineStr">
        <is>
          <t>oss_scorer.py</t>
        </is>
      </c>
      <c r="J60" s="23" t="inlineStr"/>
    </row>
    <row r="61" ht="40" customHeight="1">
      <c r="A61" s="24" t="inlineStr">
        <is>
          <t>OPG-060</t>
        </is>
      </c>
      <c r="B61" s="25" t="n">
        <v>6</v>
      </c>
      <c r="C61" s="26" t="inlineStr">
        <is>
          <t>Missing-data semantics</t>
        </is>
      </c>
      <c r="D61" s="27" t="inlineStr">
        <is>
          <t>Policy Engine &amp; Explainability</t>
        </is>
      </c>
      <c r="E61" s="27" t="inlineStr">
        <is>
          <t>Policy distinguishes pass, fail, unknown, unavailable, stale; missing evidence never silently zero or success</t>
        </is>
      </c>
      <c r="F61" s="28" t="inlineStr">
        <is>
          <t>P0</t>
        </is>
      </c>
      <c r="G61" s="29" t="inlineStr">
        <is>
          <t>Done</t>
        </is>
      </c>
      <c r="H61" s="27" t="inlineStr">
        <is>
          <t>DataPresence enum + apply_missing_data_rule()</t>
        </is>
      </c>
      <c r="I61" s="30" t="inlineStr">
        <is>
          <t>src/osspolicyguard/policy.py</t>
        </is>
      </c>
      <c r="J61" s="30" t="inlineStr"/>
    </row>
    <row r="62" ht="40" customHeight="1">
      <c r="A62" s="17" t="inlineStr">
        <is>
          <t>OPG-061</t>
        </is>
      </c>
      <c r="B62" s="18" t="n">
        <v>6</v>
      </c>
      <c r="C62" s="19" t="inlineStr">
        <is>
          <t>Reason-coded findings</t>
        </is>
      </c>
      <c r="D62" s="20" t="inlineStr">
        <is>
          <t>Policy Engine &amp; Explainability</t>
        </is>
      </c>
      <c r="E62" s="20" t="inlineStr">
        <is>
          <t>Each finding includes stable code, title, severity, dimension, evidence references, score effect, policy rule, remediation, confidence</t>
        </is>
      </c>
      <c r="F62" s="21" t="inlineStr">
        <is>
          <t>P0</t>
        </is>
      </c>
      <c r="G62" s="29" t="inlineStr">
        <is>
          <t>Done</t>
        </is>
      </c>
      <c r="H62" s="20" t="inlineStr">
        <is>
          <t>build_findings() with 8 typed finding rules</t>
        </is>
      </c>
      <c r="I62" s="23" t="inlineStr">
        <is>
          <t>src/osspolicyguard/reports.py</t>
        </is>
      </c>
      <c r="J62" s="23" t="inlineStr">
        <is>
          <t>OPG-062</t>
        </is>
      </c>
    </row>
    <row r="63" ht="40" customHeight="1">
      <c r="A63" s="24" t="inlineStr">
        <is>
          <t>OPG-062</t>
        </is>
      </c>
      <c r="B63" s="25" t="n">
        <v>6</v>
      </c>
      <c r="C63" s="26" t="inlineStr">
        <is>
          <t>Decision trace</t>
        </is>
      </c>
      <c r="D63" s="27" t="inlineStr">
        <is>
          <t>Policy Engine &amp; Explainability</t>
        </is>
      </c>
      <c r="E63" s="27" t="inlineStr">
        <is>
          <t>Machine-readable evaluation tree from raw evidence through normalized facts and rule outcomes to final decision</t>
        </is>
      </c>
      <c r="F63" s="28" t="inlineStr">
        <is>
          <t>P0</t>
        </is>
      </c>
      <c r="G63" s="33" t="inlineStr">
        <is>
          <t>Not Started</t>
        </is>
      </c>
      <c r="H63" s="27" t="inlineStr"/>
      <c r="I63" s="30" t="inlineStr">
        <is>
          <t>TBD</t>
        </is>
      </c>
      <c r="J63" s="30" t="inlineStr">
        <is>
          <t>OPG-061</t>
        </is>
      </c>
    </row>
    <row r="64" ht="40" customHeight="1">
      <c r="A64" s="17" t="inlineStr">
        <is>
          <t>OPG-063</t>
        </is>
      </c>
      <c r="B64" s="18" t="n">
        <v>6</v>
      </c>
      <c r="C64" s="19" t="inlineStr">
        <is>
          <t>Policy unit-test framework</t>
        </is>
      </c>
      <c r="D64" s="20" t="inlineStr">
        <is>
          <t>Policy Engine &amp; Explainability</t>
        </is>
      </c>
      <c r="E64" s="20" t="inlineStr">
        <is>
          <t>Organizations define positive/negative YAML test cases; policy test reports diffs and fails CI when decisions change</t>
        </is>
      </c>
      <c r="F64" s="31" t="inlineStr">
        <is>
          <t>P1</t>
        </is>
      </c>
      <c r="G64" s="33" t="inlineStr">
        <is>
          <t>Not Started</t>
        </is>
      </c>
      <c r="H64" s="20" t="inlineStr"/>
      <c r="I64" s="23" t="inlineStr">
        <is>
          <t>TBD</t>
        </is>
      </c>
      <c r="J64" s="23" t="inlineStr">
        <is>
          <t>OPG-056</t>
        </is>
      </c>
    </row>
    <row r="65" ht="40" customHeight="1">
      <c r="A65" s="24" t="inlineStr">
        <is>
          <t>OPG-064</t>
        </is>
      </c>
      <c r="B65" s="25" t="n">
        <v>6</v>
      </c>
      <c r="C65" s="26" t="inlineStr">
        <is>
          <t>Policy simulation</t>
        </is>
      </c>
      <c r="D65" s="27" t="inlineStr">
        <is>
          <t>Policy Engine &amp; Explainability</t>
        </is>
      </c>
      <c r="E65" s="27" t="inlineStr">
        <is>
          <t>Evaluate proposed policy against stored evidence without network calls; show decision changes and rule-level causes</t>
        </is>
      </c>
      <c r="F65" s="32" t="inlineStr">
        <is>
          <t>P1</t>
        </is>
      </c>
      <c r="G65" s="33" t="inlineStr">
        <is>
          <t>Not Started</t>
        </is>
      </c>
      <c r="H65" s="27" t="inlineStr"/>
      <c r="I65" s="30" t="inlineStr">
        <is>
          <t>TBD</t>
        </is>
      </c>
      <c r="J65" s="30" t="inlineStr">
        <is>
          <t>OPG-056</t>
        </is>
      </c>
    </row>
    <row r="66" ht="40" customHeight="1">
      <c r="A66" s="17" t="inlineStr">
        <is>
          <t>OPG-065</t>
        </is>
      </c>
      <c r="B66" s="18" t="n">
        <v>6</v>
      </c>
      <c r="C66" s="19" t="inlineStr">
        <is>
          <t>Risk appetite profiles</t>
        </is>
      </c>
      <c r="D66" s="20" t="inlineStr">
        <is>
          <t>Policy Engine &amp; Explainability</t>
        </is>
      </c>
      <c r="E66" s="20" t="inlineStr">
        <is>
          <t>Conservative, balanced, permissive examples differing through documented policy values only</t>
        </is>
      </c>
      <c r="F66" s="31" t="inlineStr">
        <is>
          <t>P1</t>
        </is>
      </c>
      <c r="G66" s="33" t="inlineStr">
        <is>
          <t>Not Started</t>
        </is>
      </c>
      <c r="H66" s="20" t="inlineStr"/>
      <c r="I66" s="23" t="inlineStr">
        <is>
          <t>TBD</t>
        </is>
      </c>
      <c r="J66" s="23" t="inlineStr">
        <is>
          <t>OPG-056</t>
        </is>
      </c>
    </row>
    <row r="67" ht="40" customHeight="1">
      <c r="A67" s="24" t="inlineStr">
        <is>
          <t>OPG-066</t>
        </is>
      </c>
      <c r="B67" s="25" t="n">
        <v>6</v>
      </c>
      <c r="C67" s="26" t="inlineStr">
        <is>
          <t>False-positive feedback loop</t>
        </is>
      </c>
      <c r="D67" s="27" t="inlineStr">
        <is>
          <t>Policy Engine &amp; Explainability</t>
        </is>
      </c>
      <c r="E67" s="27" t="inlineStr">
        <is>
          <t>Capture disputed finding, package/version, rule, evidence, disposition, reviewer, resolution time; never auto-weaken policy</t>
        </is>
      </c>
      <c r="F67" s="32" t="inlineStr">
        <is>
          <t>P1</t>
        </is>
      </c>
      <c r="G67" s="33" t="inlineStr">
        <is>
          <t>Not Started</t>
        </is>
      </c>
      <c r="H67" s="27" t="inlineStr"/>
      <c r="I67" s="30" t="inlineStr">
        <is>
          <t>TBD</t>
        </is>
      </c>
      <c r="J67" s="30" t="inlineStr">
        <is>
          <t>OPG-061</t>
        </is>
      </c>
    </row>
    <row r="68" ht="40" customHeight="1">
      <c r="A68" s="17" t="inlineStr">
        <is>
          <t>OPG-067</t>
        </is>
      </c>
      <c r="B68" s="18" t="n">
        <v>7</v>
      </c>
      <c r="C68" s="19" t="inlineStr">
        <is>
          <t>CLI package scan</t>
        </is>
      </c>
      <c r="D68" s="20" t="inlineStr">
        <is>
          <t>Outputs APIs &amp; Developer Integrations</t>
        </is>
      </c>
      <c r="E68" s="20" t="inlineStr">
        <is>
          <t>scan &lt;package&gt; supports text and JSON, validates inputs, documents exit codes, succeeds against offline fixtures</t>
        </is>
      </c>
      <c r="F68" s="21" t="inlineStr">
        <is>
          <t>P0</t>
        </is>
      </c>
      <c r="G68" s="29" t="inlineStr">
        <is>
          <t>Done</t>
        </is>
      </c>
      <c r="H68" s="20" t="inlineStr">
        <is>
          <t>Full CLI with text/json/sarif/markdown formats</t>
        </is>
      </c>
      <c r="I68" s="23" t="inlineStr">
        <is>
          <t>src/osspolicyguard/cli.py</t>
        </is>
      </c>
      <c r="J68" s="23" t="inlineStr"/>
    </row>
    <row r="69" ht="40" customHeight="1">
      <c r="A69" s="24" t="inlineStr">
        <is>
          <t>OPG-068</t>
        </is>
      </c>
      <c r="B69" s="25" t="n">
        <v>7</v>
      </c>
      <c r="C69" s="26" t="inlineStr">
        <is>
          <t>CLI manifest scan</t>
        </is>
      </c>
      <c r="D69" s="27" t="inlineStr">
        <is>
          <t>Outputs APIs &amp; Developer Integrations</t>
        </is>
      </c>
      <c r="E69" s="27" t="inlineStr">
        <is>
          <t>scan --manifest produces component and aggregate decisions, supports changed-only, bounded concurrency, deterministic ordering</t>
        </is>
      </c>
      <c r="F69" s="28" t="inlineStr">
        <is>
          <t>P0</t>
        </is>
      </c>
      <c r="G69" s="33" t="inlineStr">
        <is>
          <t>Not Started</t>
        </is>
      </c>
      <c r="H69" s="27" t="inlineStr">
        <is>
          <t>Stub implemented; full parsing pending</t>
        </is>
      </c>
      <c r="I69" s="30" t="inlineStr">
        <is>
          <t>src/osspolicyguard/cli.py</t>
        </is>
      </c>
      <c r="J69" s="30" t="inlineStr">
        <is>
          <t>OPG-015,OPG-017</t>
        </is>
      </c>
    </row>
    <row r="70" ht="40" customHeight="1">
      <c r="A70" s="17" t="inlineStr">
        <is>
          <t>OPG-069</t>
        </is>
      </c>
      <c r="B70" s="18" t="n">
        <v>7</v>
      </c>
      <c r="C70" s="19" t="inlineStr">
        <is>
          <t>Versioned JSON report</t>
        </is>
      </c>
      <c r="D70" s="20" t="inlineStr">
        <is>
          <t>Outputs APIs &amp; Developer Integrations</t>
        </is>
      </c>
      <c r="E70" s="20" t="inlineStr">
        <is>
          <t>Report validates against published schema, includes tool/policy versions, evidence freshness, findings, warnings; golden tests pass</t>
        </is>
      </c>
      <c r="F70" s="21" t="inlineStr">
        <is>
          <t>P0</t>
        </is>
      </c>
      <c r="G70" s="29" t="inlineStr">
        <is>
          <t>Done</t>
        </is>
      </c>
      <c r="H70" s="20" t="inlineStr">
        <is>
          <t>schema.json + JSON output format validated</t>
        </is>
      </c>
      <c r="I70" s="23" t="inlineStr">
        <is>
          <t>schema.json / src/osspolicyguard/cli.py</t>
        </is>
      </c>
      <c r="J70" s="23" t="inlineStr"/>
    </row>
    <row r="71" ht="40" customHeight="1">
      <c r="A71" s="24" t="inlineStr">
        <is>
          <t>OPG-070</t>
        </is>
      </c>
      <c r="B71" s="25" t="n">
        <v>7</v>
      </c>
      <c r="C71" s="26" t="inlineStr">
        <is>
          <t>SARIF 2.1.0 output</t>
        </is>
      </c>
      <c r="D71" s="27" t="inlineStr">
        <is>
          <t>Outputs APIs &amp; Developer Integrations</t>
        </is>
      </c>
      <c r="E71" s="27" t="inlineStr">
        <is>
          <t>Valid SARIF with stable rule IDs, package locations, severity mapping, help URIs, remediation; accepted by GitHub code scanning</t>
        </is>
      </c>
      <c r="F71" s="28" t="inlineStr">
        <is>
          <t>P0</t>
        </is>
      </c>
      <c r="G71" s="29" t="inlineStr">
        <is>
          <t>Done</t>
        </is>
      </c>
      <c r="H71" s="27" t="inlineStr">
        <is>
          <t>to_sarif() generating valid SARIF 2.1.0</t>
        </is>
      </c>
      <c r="I71" s="30" t="inlineStr">
        <is>
          <t>src/osspolicyguard/reports.py</t>
        </is>
      </c>
      <c r="J71" s="30" t="inlineStr"/>
    </row>
    <row r="72" ht="40" customHeight="1">
      <c r="A72" s="17" t="inlineStr">
        <is>
          <t>OPG-071</t>
        </is>
      </c>
      <c r="B72" s="18" t="n">
        <v>7</v>
      </c>
      <c r="C72" s="19" t="inlineStr">
        <is>
          <t>CycloneDX output enrichment</t>
        </is>
      </c>
      <c r="D72" s="20" t="inlineStr">
        <is>
          <t>Outputs APIs &amp; Developer Integrations</t>
        </is>
      </c>
      <c r="E72" s="20" t="inlineStr">
        <is>
          <t>Add policy decision, risk, evidence references, vulnerability analysis as standards-compliant properties</t>
        </is>
      </c>
      <c r="F72" s="31" t="inlineStr">
        <is>
          <t>P1</t>
        </is>
      </c>
      <c r="G72" s="33" t="inlineStr">
        <is>
          <t>Not Started</t>
        </is>
      </c>
      <c r="H72" s="20" t="inlineStr"/>
      <c r="I72" s="23" t="inlineStr">
        <is>
          <t>TBD</t>
        </is>
      </c>
      <c r="J72" s="23" t="inlineStr">
        <is>
          <t>OPG-019</t>
        </is>
      </c>
    </row>
    <row r="73" ht="40" customHeight="1">
      <c r="A73" s="24" t="inlineStr">
        <is>
          <t>OPG-072</t>
        </is>
      </c>
      <c r="B73" s="25" t="n">
        <v>7</v>
      </c>
      <c r="C73" s="26" t="inlineStr">
        <is>
          <t>Markdown pull-request report</t>
        </is>
      </c>
      <c r="D73" s="27" t="inlineStr">
        <is>
          <t>Outputs APIs &amp; Developer Integrations</t>
        </is>
      </c>
      <c r="E73" s="27" t="inlineStr">
        <is>
          <t>Bounded summary with changed dependencies, blocks, review items, evidence freshness, remediation; long detail attached</t>
        </is>
      </c>
      <c r="F73" s="28" t="inlineStr">
        <is>
          <t>P0</t>
        </is>
      </c>
      <c r="G73" s="29" t="inlineStr">
        <is>
          <t>Done</t>
        </is>
      </c>
      <c r="H73" s="27" t="inlineStr">
        <is>
          <t>to_markdown_pr() with decision badge + evidence table</t>
        </is>
      </c>
      <c r="I73" s="30" t="inlineStr">
        <is>
          <t>src/osspolicyguard/reports.py</t>
        </is>
      </c>
      <c r="J73" s="30" t="inlineStr"/>
    </row>
    <row r="74" ht="40" customHeight="1">
      <c r="A74" s="17" t="inlineStr">
        <is>
          <t>OPG-073</t>
        </is>
      </c>
      <c r="B74" s="18" t="n">
        <v>7</v>
      </c>
      <c r="C74" s="19" t="inlineStr">
        <is>
          <t>GitHub Action product</t>
        </is>
      </c>
      <c r="D74" s="20" t="inlineStr">
        <is>
          <t>Outputs APIs &amp; Developer Integrations</t>
        </is>
      </c>
      <c r="E74" s="20" t="inlineStr">
        <is>
          <t>Versioned action with pinned runtime, inputs/outputs, least permissions, cache support, SARIF upload, decision gating</t>
        </is>
      </c>
      <c r="F74" s="21" t="inlineStr">
        <is>
          <t>P0</t>
        </is>
      </c>
      <c r="G74" s="22" t="inlineStr">
        <is>
          <t>In Progress</t>
        </is>
      </c>
      <c r="H74" s="20" t="inlineStr">
        <is>
          <t>Basic action workflow exists; not yet versioned</t>
        </is>
      </c>
      <c r="I74" s="23" t="inlineStr">
        <is>
          <t>.github/workflows/</t>
        </is>
      </c>
      <c r="J74" s="23" t="inlineStr"/>
    </row>
    <row r="75" ht="40" customHeight="1">
      <c r="A75" s="24" t="inlineStr">
        <is>
          <t>OPG-074</t>
        </is>
      </c>
      <c r="B75" s="25" t="n">
        <v>7</v>
      </c>
      <c r="C75" s="26" t="inlineStr">
        <is>
          <t>Reusable CI templates</t>
        </is>
      </c>
      <c r="D75" s="27" t="inlineStr">
        <is>
          <t>Outputs APIs &amp; Developer Integrations</t>
        </is>
      </c>
      <c r="E75" s="27" t="inlineStr">
        <is>
          <t>GitHub Actions, GitLab CI, Azure DevOps, Jenkins examples with secret handling and expected exit-code behavior</t>
        </is>
      </c>
      <c r="F75" s="32" t="inlineStr">
        <is>
          <t>P1</t>
        </is>
      </c>
      <c r="G75" s="33" t="inlineStr">
        <is>
          <t>Not Started</t>
        </is>
      </c>
      <c r="H75" s="27" t="inlineStr"/>
      <c r="I75" s="30" t="inlineStr">
        <is>
          <t>TBD</t>
        </is>
      </c>
      <c r="J75" s="30" t="inlineStr">
        <is>
          <t>OPG-073</t>
        </is>
      </c>
    </row>
    <row r="76" ht="40" customHeight="1">
      <c r="A76" s="17" t="inlineStr">
        <is>
          <t>OPG-075</t>
        </is>
      </c>
      <c r="B76" s="18" t="n">
        <v>7</v>
      </c>
      <c r="C76" s="19" t="inlineStr">
        <is>
          <t>REST service</t>
        </is>
      </c>
      <c r="D76" s="20" t="inlineStr">
        <is>
          <t>Outputs APIs &amp; Developer Integrations</t>
        </is>
      </c>
      <c r="E76" s="20" t="inlineStr">
        <is>
          <t>Optional service with authenticated scan, result, policy, health endpoints; OpenAPI schema, idempotency, quotas, async jobs</t>
        </is>
      </c>
      <c r="F76" s="34" t="inlineStr">
        <is>
          <t>P2</t>
        </is>
      </c>
      <c r="G76" s="33" t="inlineStr">
        <is>
          <t>Not Started</t>
        </is>
      </c>
      <c r="H76" s="20" t="inlineStr"/>
      <c r="I76" s="23" t="inlineStr">
        <is>
          <t>TBD</t>
        </is>
      </c>
      <c r="J76" s="23" t="inlineStr">
        <is>
          <t>OPG-007</t>
        </is>
      </c>
    </row>
    <row r="77" ht="40" customHeight="1">
      <c r="A77" s="24" t="inlineStr">
        <is>
          <t>OPG-076</t>
        </is>
      </c>
      <c r="B77" s="25" t="n">
        <v>7</v>
      </c>
      <c r="C77" s="26" t="inlineStr">
        <is>
          <t>Webhook/event integration</t>
        </is>
      </c>
      <c r="D77" s="27" t="inlineStr">
        <is>
          <t>Outputs APIs &amp; Developer Integrations</t>
        </is>
      </c>
      <c r="E77" s="27" t="inlineStr">
        <is>
          <t>Signed events for decision and exception lifecycle with replay protection, retry/backoff, delivery audit, stable payload</t>
        </is>
      </c>
      <c r="F77" s="35" t="inlineStr">
        <is>
          <t>P2</t>
        </is>
      </c>
      <c r="G77" s="33" t="inlineStr">
        <is>
          <t>Not Started</t>
        </is>
      </c>
      <c r="H77" s="27" t="inlineStr"/>
      <c r="I77" s="30" t="inlineStr">
        <is>
          <t>TBD</t>
        </is>
      </c>
      <c r="J77" s="30" t="inlineStr">
        <is>
          <t>OPG-075</t>
        </is>
      </c>
    </row>
    <row r="78" ht="40" customHeight="1">
      <c r="A78" s="17" t="inlineStr">
        <is>
          <t>OPG-077</t>
        </is>
      </c>
      <c r="B78" s="18" t="n">
        <v>7</v>
      </c>
      <c r="C78" s="19" t="inlineStr">
        <is>
          <t>IDE/pre-commit integration</t>
        </is>
      </c>
      <c r="D78" s="20" t="inlineStr">
        <is>
          <t>Outputs APIs &amp; Developer Integrations</t>
        </is>
      </c>
      <c r="E78" s="20" t="inlineStr">
        <is>
          <t>Fast changed-dependency checks with cached/offline evidence; reason codes and remediation visible before push</t>
        </is>
      </c>
      <c r="F78" s="31" t="inlineStr">
        <is>
          <t>P1</t>
        </is>
      </c>
      <c r="G78" s="33" t="inlineStr">
        <is>
          <t>Not Started</t>
        </is>
      </c>
      <c r="H78" s="20" t="inlineStr"/>
      <c r="I78" s="23" t="inlineStr">
        <is>
          <t>TBD</t>
        </is>
      </c>
      <c r="J78" s="23" t="inlineStr">
        <is>
          <t>OPG-025</t>
        </is>
      </c>
    </row>
    <row r="79" ht="40" customHeight="1">
      <c r="A79" s="24" t="inlineStr">
        <is>
          <t>OPG-078</t>
        </is>
      </c>
      <c r="B79" s="25" t="n">
        <v>8</v>
      </c>
      <c r="C79" s="26" t="inlineStr">
        <is>
          <t>Approved component catalog</t>
        </is>
      </c>
      <c r="D79" s="27" t="inlineStr">
        <is>
          <t>Enterprise Governance &amp; Exceptions</t>
        </is>
      </c>
      <c r="E79" s="27" t="inlineStr">
        <is>
          <t>Org-scoped approved package/version/digest records with policy, evidence snapshot, owner, approval date, review expiry</t>
        </is>
      </c>
      <c r="F79" s="32" t="inlineStr">
        <is>
          <t>P1</t>
        </is>
      </c>
      <c r="G79" s="33" t="inlineStr">
        <is>
          <t>Not Started</t>
        </is>
      </c>
      <c r="H79" s="27" t="inlineStr"/>
      <c r="I79" s="30" t="inlineStr">
        <is>
          <t>TBD</t>
        </is>
      </c>
      <c r="J79" s="30" t="inlineStr">
        <is>
          <t>OPG-081</t>
        </is>
      </c>
    </row>
    <row r="80" ht="40" customHeight="1">
      <c r="A80" s="17" t="inlineStr">
        <is>
          <t>OPG-079</t>
        </is>
      </c>
      <c r="B80" s="18" t="n">
        <v>8</v>
      </c>
      <c r="C80" s="19" t="inlineStr">
        <is>
          <t>Exception workflow</t>
        </is>
      </c>
      <c r="D80" s="20" t="inlineStr">
        <is>
          <t>Enterprise Governance &amp; Exceptions</t>
        </is>
      </c>
      <c r="E80" s="20" t="inlineStr">
        <is>
          <t>Exceptions require component scope, rule, justification, compensating control, requester, approver, expiry, ticket</t>
        </is>
      </c>
      <c r="F80" s="21" t="inlineStr">
        <is>
          <t>P0</t>
        </is>
      </c>
      <c r="G80" s="33" t="inlineStr">
        <is>
          <t>Not Started</t>
        </is>
      </c>
      <c r="H80" s="20" t="inlineStr"/>
      <c r="I80" s="23" t="inlineStr">
        <is>
          <t>TBD</t>
        </is>
      </c>
      <c r="J80" s="23" t="inlineStr">
        <is>
          <t>OPG-081</t>
        </is>
      </c>
    </row>
    <row r="81" ht="40" customHeight="1">
      <c r="A81" s="24" t="inlineStr">
        <is>
          <t>OPG-080</t>
        </is>
      </c>
      <c r="B81" s="25" t="n">
        <v>8</v>
      </c>
      <c r="C81" s="26" t="inlineStr">
        <is>
          <t>Separation of duties</t>
        </is>
      </c>
      <c r="D81" s="27" t="inlineStr">
        <is>
          <t>Enterprise Governance &amp; Exceptions</t>
        </is>
      </c>
      <c r="E81" s="27" t="inlineStr">
        <is>
          <t>Configurable roles prevent requesters from approving their own high-risk exceptions</t>
        </is>
      </c>
      <c r="F81" s="32" t="inlineStr">
        <is>
          <t>P1</t>
        </is>
      </c>
      <c r="G81" s="33" t="inlineStr">
        <is>
          <t>Not Started</t>
        </is>
      </c>
      <c r="H81" s="27" t="inlineStr"/>
      <c r="I81" s="30" t="inlineStr">
        <is>
          <t>TBD</t>
        </is>
      </c>
      <c r="J81" s="30" t="inlineStr">
        <is>
          <t>OPG-079</t>
        </is>
      </c>
    </row>
    <row r="82" ht="40" customHeight="1">
      <c r="A82" s="17" t="inlineStr">
        <is>
          <t>OPG-081</t>
        </is>
      </c>
      <c r="B82" s="18" t="n">
        <v>8</v>
      </c>
      <c r="C82" s="19" t="inlineStr">
        <is>
          <t>Immutable audit log</t>
        </is>
      </c>
      <c r="D82" s="20" t="inlineStr">
        <is>
          <t>Enterprise Governance &amp; Exceptions</t>
        </is>
      </c>
      <c r="E82" s="20" t="inlineStr">
        <is>
          <t>Record policy, decision, evidence digest, user/action, exception, config changes in append-only exportable records</t>
        </is>
      </c>
      <c r="F82" s="21" t="inlineStr">
        <is>
          <t>P0</t>
        </is>
      </c>
      <c r="G82" s="33" t="inlineStr">
        <is>
          <t>Not Started</t>
        </is>
      </c>
      <c r="H82" s="20" t="inlineStr"/>
      <c r="I82" s="23" t="inlineStr">
        <is>
          <t>TBD</t>
        </is>
      </c>
      <c r="J82" s="23" t="inlineStr">
        <is>
          <t>OPG-079</t>
        </is>
      </c>
    </row>
    <row r="83" ht="40" customHeight="1">
      <c r="A83" s="24" t="inlineStr">
        <is>
          <t>OPG-082</t>
        </is>
      </c>
      <c r="B83" s="25" t="n">
        <v>8</v>
      </c>
      <c r="C83" s="26" t="inlineStr">
        <is>
          <t>Portfolio inventory</t>
        </is>
      </c>
      <c r="D83" s="27" t="inlineStr">
        <is>
          <t>Enterprise Governance &amp; Exceptions</t>
        </is>
      </c>
      <c r="E83" s="27" t="inlineStr">
        <is>
          <t>Aggregate components across repositories preserving project and environment scope; exact version/digest queries</t>
        </is>
      </c>
      <c r="F83" s="32" t="inlineStr">
        <is>
          <t>P1</t>
        </is>
      </c>
      <c r="G83" s="33" t="inlineStr">
        <is>
          <t>Not Started</t>
        </is>
      </c>
      <c r="H83" s="27" t="inlineStr"/>
      <c r="I83" s="30" t="inlineStr">
        <is>
          <t>TBD</t>
        </is>
      </c>
      <c r="J83" s="30" t="inlineStr">
        <is>
          <t>OPG-078</t>
        </is>
      </c>
    </row>
    <row r="84" ht="40" customHeight="1">
      <c r="A84" s="17" t="inlineStr">
        <is>
          <t>OPG-083</t>
        </is>
      </c>
      <c r="B84" s="18" t="n">
        <v>8</v>
      </c>
      <c r="C84" s="19" t="inlineStr">
        <is>
          <t>Continuous re-evaluation</t>
        </is>
      </c>
      <c r="D84" s="20" t="inlineStr">
        <is>
          <t>Enterprise Governance &amp; Exceptions</t>
        </is>
      </c>
      <c r="E84" s="20" t="inlineStr">
        <is>
          <t>Re-evaluate approved components when advisory, exploit, ownership, release, or policy evidence changes</t>
        </is>
      </c>
      <c r="F84" s="31" t="inlineStr">
        <is>
          <t>P1</t>
        </is>
      </c>
      <c r="G84" s="33" t="inlineStr">
        <is>
          <t>Not Started</t>
        </is>
      </c>
      <c r="H84" s="20" t="inlineStr"/>
      <c r="I84" s="23" t="inlineStr">
        <is>
          <t>TBD</t>
        </is>
      </c>
      <c r="J84" s="23" t="inlineStr">
        <is>
          <t>OPG-078</t>
        </is>
      </c>
    </row>
    <row r="85" ht="40" customHeight="1">
      <c r="A85" s="24" t="inlineStr">
        <is>
          <t>OPG-084</t>
        </is>
      </c>
      <c r="B85" s="25" t="n">
        <v>8</v>
      </c>
      <c r="C85" s="26" t="inlineStr">
        <is>
          <t>Policy inheritance</t>
        </is>
      </c>
      <c r="D85" s="27" t="inlineStr">
        <is>
          <t>Enterprise Governance &amp; Exceptions</t>
        </is>
      </c>
      <c r="E85" s="27" t="inlineStr">
        <is>
          <t>Apply enterprise, business-unit, application, repository policies using explicit merge rules; protected controls not weakened downstream</t>
        </is>
      </c>
      <c r="F85" s="32" t="inlineStr">
        <is>
          <t>P1</t>
        </is>
      </c>
      <c r="G85" s="33" t="inlineStr">
        <is>
          <t>Not Started</t>
        </is>
      </c>
      <c r="H85" s="27" t="inlineStr"/>
      <c r="I85" s="30" t="inlineStr">
        <is>
          <t>TBD</t>
        </is>
      </c>
      <c r="J85" s="30" t="inlineStr">
        <is>
          <t>OPG-056</t>
        </is>
      </c>
    </row>
    <row r="86" ht="40" customHeight="1">
      <c r="A86" s="17" t="inlineStr">
        <is>
          <t>OPG-085</t>
        </is>
      </c>
      <c r="B86" s="18" t="n">
        <v>8</v>
      </c>
      <c r="C86" s="19" t="inlineStr">
        <is>
          <t>Data retention controls</t>
        </is>
      </c>
      <c r="D86" s="20" t="inlineStr">
        <is>
          <t>Enterprise Governance &amp; Exceptions</t>
        </is>
      </c>
      <c r="E86" s="20" t="inlineStr">
        <is>
          <t>Configure retention by evidence, report, audit, artifact type; legal hold overrides deletion; actions logged</t>
        </is>
      </c>
      <c r="F86" s="34" t="inlineStr">
        <is>
          <t>P2</t>
        </is>
      </c>
      <c r="G86" s="33" t="inlineStr">
        <is>
          <t>Not Started</t>
        </is>
      </c>
      <c r="H86" s="20" t="inlineStr"/>
      <c r="I86" s="23" t="inlineStr">
        <is>
          <t>TBD</t>
        </is>
      </c>
      <c r="J86" s="23" t="inlineStr">
        <is>
          <t>OPG-081</t>
        </is>
      </c>
    </row>
    <row r="87" ht="40" customHeight="1">
      <c r="A87" s="24" t="inlineStr">
        <is>
          <t>OPG-086</t>
        </is>
      </c>
      <c r="B87" s="25" t="n">
        <v>8</v>
      </c>
      <c r="C87" s="26" t="inlineStr">
        <is>
          <t>Multi-tenant isolation</t>
        </is>
      </c>
      <c r="D87" s="27" t="inlineStr">
        <is>
          <t>Enterprise Governance &amp; Exceptions</t>
        </is>
      </c>
      <c r="E87" s="27" t="inlineStr">
        <is>
          <t>Service-mode tenant data, caches, policies, tokens isolated; cross-tenant authorization and cache-key tests pass</t>
        </is>
      </c>
      <c r="F87" s="35" t="inlineStr">
        <is>
          <t>P2</t>
        </is>
      </c>
      <c r="G87" s="33" t="inlineStr">
        <is>
          <t>Not Started</t>
        </is>
      </c>
      <c r="H87" s="27" t="inlineStr"/>
      <c r="I87" s="30" t="inlineStr">
        <is>
          <t>TBD</t>
        </is>
      </c>
      <c r="J87" s="30" t="inlineStr">
        <is>
          <t>OPG-075</t>
        </is>
      </c>
    </row>
    <row r="88" ht="40" customHeight="1">
      <c r="A88" s="17" t="inlineStr">
        <is>
          <t>OPG-087</t>
        </is>
      </c>
      <c r="B88" s="18" t="n">
        <v>8</v>
      </c>
      <c r="C88" s="19" t="inlineStr">
        <is>
          <t>SLA and ownership routing</t>
        </is>
      </c>
      <c r="D88" s="20" t="inlineStr">
        <is>
          <t>Enterprise Governance &amp; Exceptions</t>
        </is>
      </c>
      <c r="E88" s="20" t="inlineStr">
        <is>
          <t>Route REVIEW/PROHIBITED findings by application owner and severity with due date, escalation, acknowledgment</t>
        </is>
      </c>
      <c r="F88" s="31" t="inlineStr">
        <is>
          <t>P1</t>
        </is>
      </c>
      <c r="G88" s="33" t="inlineStr">
        <is>
          <t>Not Started</t>
        </is>
      </c>
      <c r="H88" s="20" t="inlineStr"/>
      <c r="I88" s="23" t="inlineStr">
        <is>
          <t>TBD</t>
        </is>
      </c>
      <c r="J88" s="23" t="inlineStr">
        <is>
          <t>OPG-079</t>
        </is>
      </c>
    </row>
    <row r="89" ht="40" customHeight="1">
      <c r="A89" s="24" t="inlineStr">
        <is>
          <t>OPG-088</t>
        </is>
      </c>
      <c r="B89" s="25" t="n">
        <v>8</v>
      </c>
      <c r="C89" s="26" t="inlineStr">
        <is>
          <t>Standards mapping</t>
        </is>
      </c>
      <c r="D89" s="27" t="inlineStr">
        <is>
          <t>Enterprise Governance &amp; Exceptions</t>
        </is>
      </c>
      <c r="E89" s="27" t="inlineStr">
        <is>
          <t>Map controls to NIST SSDF, SLSA, OpenSSF Scorecard, OWASP SCVS with versioned non-overclaiming references</t>
        </is>
      </c>
      <c r="F89" s="32" t="inlineStr">
        <is>
          <t>P1</t>
        </is>
      </c>
      <c r="G89" s="33" t="inlineStr">
        <is>
          <t>Not Started</t>
        </is>
      </c>
      <c r="H89" s="27" t="inlineStr"/>
      <c r="I89" s="30" t="inlineStr">
        <is>
          <t>TBD</t>
        </is>
      </c>
      <c r="J89" s="30" t="inlineStr">
        <is>
          <t>OPG-056</t>
        </is>
      </c>
    </row>
    <row r="90" ht="40" customHeight="1">
      <c r="A90" s="17" t="inlineStr">
        <is>
          <t>OPG-089</t>
        </is>
      </c>
      <c r="B90" s="18" t="n">
        <v>9</v>
      </c>
      <c r="C90" s="19" t="inlineStr">
        <is>
          <t>Threat model</t>
        </is>
      </c>
      <c r="D90" s="20" t="inlineStr">
        <is>
          <t>Security Privacy &amp; Reliability</t>
        </is>
      </c>
      <c r="E90" s="20" t="inlineStr">
        <is>
          <t>Architecture/data-flow diagrams, assets, trust boundaries, threats, mitigations, residual risks for all operation modes</t>
        </is>
      </c>
      <c r="F90" s="21" t="inlineStr">
        <is>
          <t>P0</t>
        </is>
      </c>
      <c r="G90" s="33" t="inlineStr">
        <is>
          <t>Not Started</t>
        </is>
      </c>
      <c r="H90" s="20" t="inlineStr"/>
      <c r="I90" s="23" t="inlineStr">
        <is>
          <t>TBD</t>
        </is>
      </c>
      <c r="J90" s="23" t="inlineStr"/>
    </row>
    <row r="91" ht="40" customHeight="1">
      <c r="A91" s="24" t="inlineStr">
        <is>
          <t>OPG-090</t>
        </is>
      </c>
      <c r="B91" s="25" t="n">
        <v>9</v>
      </c>
      <c r="C91" s="26" t="inlineStr">
        <is>
          <t>Secret management</t>
        </is>
      </c>
      <c r="D91" s="27" t="inlineStr">
        <is>
          <t>Security Privacy &amp; Reliability</t>
        </is>
      </c>
      <c r="E91" s="27" t="inlineStr">
        <is>
          <t>Tokens only from approved env/secret providers; never in policy files; redacted from output; documented least scopes</t>
        </is>
      </c>
      <c r="F91" s="28" t="inlineStr">
        <is>
          <t>P0</t>
        </is>
      </c>
      <c r="G91" s="33" t="inlineStr">
        <is>
          <t>Not Started</t>
        </is>
      </c>
      <c r="H91" s="27" t="inlineStr"/>
      <c r="I91" s="30" t="inlineStr">
        <is>
          <t>TBD</t>
        </is>
      </c>
      <c r="J91" s="30" t="inlineStr">
        <is>
          <t>OPG-010</t>
        </is>
      </c>
    </row>
    <row r="92" ht="40" customHeight="1">
      <c r="A92" s="17" t="inlineStr">
        <is>
          <t>OPG-091</t>
        </is>
      </c>
      <c r="B92" s="18" t="n">
        <v>9</v>
      </c>
      <c r="C92" s="19" t="inlineStr">
        <is>
          <t>Untrusted input hardening</t>
        </is>
      </c>
      <c r="D92" s="20" t="inlineStr">
        <is>
          <t>Security Privacy &amp; Reliability</t>
        </is>
      </c>
      <c r="E92" s="20" t="inlineStr">
        <is>
          <t>Package names, manifests, archives, URLs, provider payloads have size/depth/time limits; traversal, zip bomb, SSRF tests pass</t>
        </is>
      </c>
      <c r="F92" s="21" t="inlineStr">
        <is>
          <t>P0</t>
        </is>
      </c>
      <c r="G92" s="33" t="inlineStr">
        <is>
          <t>Not Started</t>
        </is>
      </c>
      <c r="H92" s="20" t="inlineStr"/>
      <c r="I92" s="23" t="inlineStr">
        <is>
          <t>TBD</t>
        </is>
      </c>
      <c r="J92" s="23" t="inlineStr">
        <is>
          <t>OPG-093</t>
        </is>
      </c>
    </row>
    <row r="93" ht="40" customHeight="1">
      <c r="A93" s="24" t="inlineStr">
        <is>
          <t>OPG-092</t>
        </is>
      </c>
      <c r="B93" s="25" t="n">
        <v>9</v>
      </c>
      <c r="C93" s="26" t="inlineStr">
        <is>
          <t>Network egress controls</t>
        </is>
      </c>
      <c r="D93" s="27" t="inlineStr">
        <is>
          <t>Security Privacy &amp; Reliability</t>
        </is>
      </c>
      <c r="E93" s="27" t="inlineStr">
        <is>
          <t>Service mode supports provider allowlists, DNS/IP validation, proxy, TLS; blocks link-local/private unless configured</t>
        </is>
      </c>
      <c r="F93" s="28" t="inlineStr">
        <is>
          <t>P0</t>
        </is>
      </c>
      <c r="G93" s="33" t="inlineStr">
        <is>
          <t>Not Started</t>
        </is>
      </c>
      <c r="H93" s="27" t="inlineStr"/>
      <c r="I93" s="30" t="inlineStr">
        <is>
          <t>TBD</t>
        </is>
      </c>
      <c r="J93" s="30" t="inlineStr">
        <is>
          <t>OPG-075</t>
        </is>
      </c>
    </row>
    <row r="94" ht="40" customHeight="1">
      <c r="A94" s="17" t="inlineStr">
        <is>
          <t>OPG-093</t>
        </is>
      </c>
      <c r="B94" s="18" t="n">
        <v>9</v>
      </c>
      <c r="C94" s="19" t="inlineStr">
        <is>
          <t>Safe artifact inspection</t>
        </is>
      </c>
      <c r="D94" s="20" t="inlineStr">
        <is>
          <t>Security Privacy &amp; Reliability</t>
        </is>
      </c>
      <c r="E94" s="20" t="inlineStr">
        <is>
          <t>Never execute lifecycle scripts; archive parsing with CPU/memory/file-count/path/decompression limits in disposable workspace</t>
        </is>
      </c>
      <c r="F94" s="21" t="inlineStr">
        <is>
          <t>P0</t>
        </is>
      </c>
      <c r="G94" s="33" t="inlineStr">
        <is>
          <t>Not Started</t>
        </is>
      </c>
      <c r="H94" s="20" t="inlineStr"/>
      <c r="I94" s="23" t="inlineStr">
        <is>
          <t>src/osspolicyguard/artifact_inventory.py</t>
        </is>
      </c>
      <c r="J94" s="23" t="inlineStr">
        <is>
          <t>OPG-053</t>
        </is>
      </c>
    </row>
    <row r="95" ht="40" customHeight="1">
      <c r="A95" s="24" t="inlineStr">
        <is>
          <t>OPG-094</t>
        </is>
      </c>
      <c r="B95" s="25" t="n">
        <v>9</v>
      </c>
      <c r="C95" s="26" t="inlineStr">
        <is>
          <t>Software bill of materials</t>
        </is>
      </c>
      <c r="D95" s="27" t="inlineStr">
        <is>
          <t>Security Privacy &amp; Reliability</t>
        </is>
      </c>
      <c r="E95" s="27" t="inlineStr">
        <is>
          <t>Release pipeline generates CycloneDX SBOM for tool itself, signs it, attaches to releases, verifies dependency licenses</t>
        </is>
      </c>
      <c r="F95" s="28" t="inlineStr">
        <is>
          <t>P0</t>
        </is>
      </c>
      <c r="G95" s="33" t="inlineStr">
        <is>
          <t>Not Started</t>
        </is>
      </c>
      <c r="H95" s="27" t="inlineStr"/>
      <c r="I95" s="30" t="inlineStr">
        <is>
          <t>TBD</t>
        </is>
      </c>
      <c r="J95" s="30" t="inlineStr">
        <is>
          <t>OPG-149</t>
        </is>
      </c>
    </row>
    <row r="96" ht="40" customHeight="1">
      <c r="A96" s="17" t="inlineStr">
        <is>
          <t>OPG-095</t>
        </is>
      </c>
      <c r="B96" s="18" t="n">
        <v>9</v>
      </c>
      <c r="C96" s="19" t="inlineStr">
        <is>
          <t>Hardened release provenance</t>
        </is>
      </c>
      <c r="D96" s="20" t="inlineStr">
        <is>
          <t>Security Privacy &amp; Reliability</t>
        </is>
      </c>
      <c r="E96" s="20" t="inlineStr">
        <is>
          <t>Build releases in isolated CI with pinned actions, protected environment, artifact attestations, signed tags, checksums</t>
        </is>
      </c>
      <c r="F96" s="21" t="inlineStr">
        <is>
          <t>P0</t>
        </is>
      </c>
      <c r="G96" s="33" t="inlineStr">
        <is>
          <t>Not Started</t>
        </is>
      </c>
      <c r="H96" s="20" t="inlineStr"/>
      <c r="I96" s="23" t="inlineStr">
        <is>
          <t>TBD</t>
        </is>
      </c>
      <c r="J96" s="23" t="inlineStr">
        <is>
          <t>OPG-050</t>
        </is>
      </c>
    </row>
    <row r="97" ht="40" customHeight="1">
      <c r="A97" s="24" t="inlineStr">
        <is>
          <t>OPG-096</t>
        </is>
      </c>
      <c r="B97" s="25" t="n">
        <v>9</v>
      </c>
      <c r="C97" s="26" t="inlineStr">
        <is>
          <t>Availability and graceful degradation</t>
        </is>
      </c>
      <c r="D97" s="27" t="inlineStr">
        <is>
          <t>Security Privacy &amp; Reliability</t>
        </is>
      </c>
      <c r="E97" s="27" t="inlineStr">
        <is>
          <t>Provider outages produce partial/abstained results per policy; never false approval; timeout budget and outage matrix tests</t>
        </is>
      </c>
      <c r="F97" s="28" t="inlineStr">
        <is>
          <t>P0</t>
        </is>
      </c>
      <c r="G97" s="33" t="inlineStr">
        <is>
          <t>Not Started</t>
        </is>
      </c>
      <c r="H97" s="27" t="inlineStr"/>
      <c r="I97" s="30" t="inlineStr">
        <is>
          <t>TBD</t>
        </is>
      </c>
      <c r="J97" s="30" t="inlineStr">
        <is>
          <t>OPG-023</t>
        </is>
      </c>
    </row>
    <row r="98" ht="40" customHeight="1">
      <c r="A98" s="17" t="inlineStr">
        <is>
          <t>OPG-097</t>
        </is>
      </c>
      <c r="B98" s="18" t="n">
        <v>9</v>
      </c>
      <c r="C98" s="19" t="inlineStr">
        <is>
          <t>Performance budgets</t>
        </is>
      </c>
      <c r="D98" s="20" t="inlineStr">
        <is>
          <t>Security Privacy &amp; Reliability</t>
        </is>
      </c>
      <c r="E98" s="20" t="inlineStr">
        <is>
          <t>Document and test maximum memory, cold scan latency, cached scan latency, manifest throughput on fixed benchmark</t>
        </is>
      </c>
      <c r="F98" s="31" t="inlineStr">
        <is>
          <t>P1</t>
        </is>
      </c>
      <c r="G98" s="33" t="inlineStr">
        <is>
          <t>Not Started</t>
        </is>
      </c>
      <c r="H98" s="20" t="inlineStr"/>
      <c r="I98" s="23" t="inlineStr">
        <is>
          <t>TBD</t>
        </is>
      </c>
      <c r="J98" s="23" t="inlineStr">
        <is>
          <t>OPG-100</t>
        </is>
      </c>
    </row>
    <row r="99" ht="40" customHeight="1">
      <c r="A99" s="24" t="inlineStr">
        <is>
          <t>OPG-098</t>
        </is>
      </c>
      <c r="B99" s="25" t="n">
        <v>9</v>
      </c>
      <c r="C99" s="26" t="inlineStr">
        <is>
          <t>Observability</t>
        </is>
      </c>
      <c r="D99" s="27" t="inlineStr">
        <is>
          <t>Security Privacy &amp; Reliability</t>
        </is>
      </c>
      <c r="E99" s="27" t="inlineStr">
        <is>
          <t>Expose provider latency/error/cache metrics, evaluation counts, decision distribution without package names unless enabled</t>
        </is>
      </c>
      <c r="F99" s="32" t="inlineStr">
        <is>
          <t>P1</t>
        </is>
      </c>
      <c r="G99" s="33" t="inlineStr">
        <is>
          <t>Not Started</t>
        </is>
      </c>
      <c r="H99" s="27" t="inlineStr"/>
      <c r="I99" s="30" t="inlineStr">
        <is>
          <t>TBD</t>
        </is>
      </c>
      <c r="J99" s="30" t="inlineStr">
        <is>
          <t>OPG-010</t>
        </is>
      </c>
    </row>
    <row r="100" ht="40" customHeight="1">
      <c r="A100" s="17" t="inlineStr">
        <is>
          <t>OPG-099</t>
        </is>
      </c>
      <c r="B100" s="18" t="n">
        <v>9</v>
      </c>
      <c r="C100" s="19" t="inlineStr">
        <is>
          <t>Backup and disaster recovery</t>
        </is>
      </c>
      <c r="D100" s="20" t="inlineStr">
        <is>
          <t>Security Privacy &amp; Reliability</t>
        </is>
      </c>
      <c r="E100" s="20" t="inlineStr">
        <is>
          <t>Service data and policy stores have encrypted backups, tested restore, defined RPO/RTO, quarterly recovery evidence</t>
        </is>
      </c>
      <c r="F100" s="34" t="inlineStr">
        <is>
          <t>P2</t>
        </is>
      </c>
      <c r="G100" s="33" t="inlineStr">
        <is>
          <t>Not Started</t>
        </is>
      </c>
      <c r="H100" s="20" t="inlineStr"/>
      <c r="I100" s="23" t="inlineStr">
        <is>
          <t>TBD</t>
        </is>
      </c>
      <c r="J100" s="23" t="inlineStr">
        <is>
          <t>OPG-075</t>
        </is>
      </c>
    </row>
    <row r="101" ht="40" customHeight="1">
      <c r="A101" s="24" t="inlineStr">
        <is>
          <t>OPG-100</t>
        </is>
      </c>
      <c r="B101" s="25" t="n">
        <v>10</v>
      </c>
      <c r="C101" s="26" t="inlineStr">
        <is>
          <t>Offline deterministic test suite</t>
        </is>
      </c>
      <c r="D101" s="27" t="inlineStr">
        <is>
          <t>Quality Release &amp; Documentation</t>
        </is>
      </c>
      <c r="E101" s="27" t="inlineStr">
        <is>
          <t>Normal tests make no live network calls, use sanitized fixtures, run under supported Python versions, pass repeatedly</t>
        </is>
      </c>
      <c r="F101" s="28" t="inlineStr">
        <is>
          <t>P0</t>
        </is>
      </c>
      <c r="G101" s="22" t="inlineStr">
        <is>
          <t>In Progress</t>
        </is>
      </c>
      <c r="H101" s="27" t="inlineStr">
        <is>
          <t>213 tests all fixture-based; no live API calls</t>
        </is>
      </c>
      <c r="I101" s="30" t="inlineStr">
        <is>
          <t>tests/</t>
        </is>
      </c>
      <c r="J101" s="30" t="inlineStr"/>
    </row>
    <row r="102" ht="40" customHeight="1">
      <c r="A102" s="17" t="inlineStr">
        <is>
          <t>OPG-101</t>
        </is>
      </c>
      <c r="B102" s="18" t="n">
        <v>10</v>
      </c>
      <c r="C102" s="19" t="inlineStr">
        <is>
          <t>Coverage and mutation gates</t>
        </is>
      </c>
      <c r="D102" s="20" t="inlineStr">
        <is>
          <t>Quality Release &amp; Documentation</t>
        </is>
      </c>
      <c r="E102" s="20" t="inlineStr">
        <is>
          <t>Enforce line/branch coverage on critical policy/provider modules and mutation-score threshold for decision logic</t>
        </is>
      </c>
      <c r="F102" s="31" t="inlineStr">
        <is>
          <t>P1</t>
        </is>
      </c>
      <c r="G102" s="33" t="inlineStr">
        <is>
          <t>Not Started</t>
        </is>
      </c>
      <c r="H102" s="20" t="inlineStr"/>
      <c r="I102" s="23" t="inlineStr">
        <is>
          <t>TBD</t>
        </is>
      </c>
      <c r="J102" s="23" t="inlineStr">
        <is>
          <t>OPG-100</t>
        </is>
      </c>
    </row>
    <row r="103" ht="40" customHeight="1">
      <c r="A103" s="24" t="inlineStr">
        <is>
          <t>OPG-102</t>
        </is>
      </c>
      <c r="B103" s="25" t="n">
        <v>10</v>
      </c>
      <c r="C103" s="26" t="inlineStr">
        <is>
          <t>Static quality gates</t>
        </is>
      </c>
      <c r="D103" s="27" t="inlineStr">
        <is>
          <t>Quality Release &amp; Documentation</t>
        </is>
      </c>
      <c r="E103" s="27" t="inlineStr">
        <is>
          <t>CI runs formatter check, lint, type check, dependency audit, secret scan, SAST, schema validation, tests; required checks block merge</t>
        </is>
      </c>
      <c r="F103" s="28" t="inlineStr">
        <is>
          <t>P0</t>
        </is>
      </c>
      <c r="G103" s="22" t="inlineStr">
        <is>
          <t>In Progress</t>
        </is>
      </c>
      <c r="H103" s="27" t="inlineStr">
        <is>
          <t>Basic CI workflow exists</t>
        </is>
      </c>
      <c r="I103" s="30" t="inlineStr">
        <is>
          <t>.github/workflows/</t>
        </is>
      </c>
      <c r="J103" s="30" t="inlineStr"/>
    </row>
    <row r="104" ht="40" customHeight="1">
      <c r="A104" s="17" t="inlineStr">
        <is>
          <t>OPG-103</t>
        </is>
      </c>
      <c r="B104" s="18" t="n">
        <v>10</v>
      </c>
      <c r="C104" s="19" t="inlineStr">
        <is>
          <t>Provider contract fixtures</t>
        </is>
      </c>
      <c r="D104" s="20" t="inlineStr">
        <is>
          <t>Quality Release &amp; Documentation</t>
        </is>
      </c>
      <c r="E104" s="20" t="inlineStr">
        <is>
          <t>Each provider has success, timeout, rate-limit, authentication, malformed, stale, empty, pagination, schema-change fixtures</t>
        </is>
      </c>
      <c r="F104" s="21" t="inlineStr">
        <is>
          <t>P0</t>
        </is>
      </c>
      <c r="G104" s="22" t="inlineStr">
        <is>
          <t>In Progress</t>
        </is>
      </c>
      <c r="H104" s="20" t="inlineStr">
        <is>
          <t>Fixture-based mocks in existing tests</t>
        </is>
      </c>
      <c r="I104" s="23" t="inlineStr">
        <is>
          <t>tests/</t>
        </is>
      </c>
      <c r="J104" s="23" t="inlineStr">
        <is>
          <t>OPG-023</t>
        </is>
      </c>
    </row>
    <row r="105" ht="40" customHeight="1">
      <c r="A105" s="24" t="inlineStr">
        <is>
          <t>OPG-104</t>
        </is>
      </c>
      <c r="B105" s="25" t="n">
        <v>10</v>
      </c>
      <c r="C105" s="26" t="inlineStr">
        <is>
          <t>End-to-end golden scenarios</t>
        </is>
      </c>
      <c r="D105" s="27" t="inlineStr">
        <is>
          <t>Quality Release &amp; Documentation</t>
        </is>
      </c>
      <c r="E105" s="27" t="inlineStr">
        <is>
          <t>Golden tests cover safe, vulnerable, malicious, abandoned, ambiguous, stale-data, outage, exception, changed-dependency</t>
        </is>
      </c>
      <c r="F105" s="28" t="inlineStr">
        <is>
          <t>P0</t>
        </is>
      </c>
      <c r="G105" s="33" t="inlineStr">
        <is>
          <t>Not Started</t>
        </is>
      </c>
      <c r="H105" s="27" t="inlineStr"/>
      <c r="I105" s="30" t="inlineStr">
        <is>
          <t>TBD</t>
        </is>
      </c>
      <c r="J105" s="30" t="inlineStr">
        <is>
          <t>OPG-100</t>
        </is>
      </c>
    </row>
    <row r="106" ht="40" customHeight="1">
      <c r="A106" s="17" t="inlineStr">
        <is>
          <t>OPG-105</t>
        </is>
      </c>
      <c r="B106" s="18" t="n">
        <v>10</v>
      </c>
      <c r="C106" s="19" t="inlineStr">
        <is>
          <t>Semantic versioning and changelog</t>
        </is>
      </c>
      <c r="D106" s="20" t="inlineStr">
        <is>
          <t>Quality Release &amp; Documentation</t>
        </is>
      </c>
      <c r="E106" s="20" t="inlineStr">
        <is>
          <t>Automated release validates version, changelog, schema/policy compatibility, migration notes, signed artifacts, rollback</t>
        </is>
      </c>
      <c r="F106" s="21" t="inlineStr">
        <is>
          <t>P0</t>
        </is>
      </c>
      <c r="G106" s="33" t="inlineStr">
        <is>
          <t>Not Started</t>
        </is>
      </c>
      <c r="H106" s="20" t="inlineStr"/>
      <c r="I106" s="23" t="inlineStr">
        <is>
          <t>TBD</t>
        </is>
      </c>
      <c r="J106" s="23" t="inlineStr">
        <is>
          <t>OPG-095</t>
        </is>
      </c>
    </row>
    <row r="107" ht="40" customHeight="1">
      <c r="A107" s="24" t="inlineStr">
        <is>
          <t>OPG-106</t>
        </is>
      </c>
      <c r="B107" s="25" t="n">
        <v>10</v>
      </c>
      <c r="C107" s="26" t="inlineStr">
        <is>
          <t>Public beta release gate</t>
        </is>
      </c>
      <c r="D107" s="27" t="inlineStr">
        <is>
          <t>Quality Release &amp; Documentation</t>
        </is>
      </c>
      <c r="E107" s="27" t="inlineStr">
        <is>
          <t>Clean-room user installs, scans, interprets, enforces decision in under five minutes; all P0 requirements satisfied</t>
        </is>
      </c>
      <c r="F107" s="28" t="inlineStr">
        <is>
          <t>P0</t>
        </is>
      </c>
      <c r="G107" s="33" t="inlineStr">
        <is>
          <t>Not Started</t>
        </is>
      </c>
      <c r="H107" s="27" t="inlineStr"/>
      <c r="I107" s="30" t="inlineStr">
        <is>
          <t>TBD</t>
        </is>
      </c>
      <c r="J107" s="30" t="inlineStr">
        <is>
          <t>OPG-001</t>
        </is>
      </c>
    </row>
    <row r="108" ht="40" customHeight="1">
      <c r="A108" s="17" t="inlineStr">
        <is>
          <t>OPG-107</t>
        </is>
      </c>
      <c r="B108" s="18" t="n">
        <v>10</v>
      </c>
      <c r="C108" s="19" t="inlineStr">
        <is>
          <t>Security policy and disclosure</t>
        </is>
      </c>
      <c r="D108" s="20" t="inlineStr">
        <is>
          <t>Quality Release &amp; Documentation</t>
        </is>
      </c>
      <c r="E108" s="20" t="inlineStr">
        <is>
          <t>SECURITY.md states supported versions, private reporting path, response targets, disclosure process, safe-harbor</t>
        </is>
      </c>
      <c r="F108" s="21" t="inlineStr">
        <is>
          <t>P0</t>
        </is>
      </c>
      <c r="G108" s="22" t="inlineStr">
        <is>
          <t>In Progress</t>
        </is>
      </c>
      <c r="H108" s="20" t="inlineStr">
        <is>
          <t>SECURITY.md exists</t>
        </is>
      </c>
      <c r="I108" s="23" t="inlineStr">
        <is>
          <t>SECURITY.md</t>
        </is>
      </c>
      <c r="J108" s="23" t="inlineStr"/>
    </row>
    <row r="109" ht="40" customHeight="1">
      <c r="A109" s="24" t="inlineStr">
        <is>
          <t>OPG-108</t>
        </is>
      </c>
      <c r="B109" s="25" t="n">
        <v>10</v>
      </c>
      <c r="C109" s="26" t="inlineStr">
        <is>
          <t>Operator documentation</t>
        </is>
      </c>
      <c r="D109" s="27" t="inlineStr">
        <is>
          <t>Quality Release &amp; Documentation</t>
        </is>
      </c>
      <c r="E109" s="27" t="inlineStr">
        <is>
          <t>Document architecture, provider credentials, caching, rate limits, offline mode, policy rollout, exceptions, troubleshooting</t>
        </is>
      </c>
      <c r="F109" s="32" t="inlineStr">
        <is>
          <t>P1</t>
        </is>
      </c>
      <c r="G109" s="33" t="inlineStr">
        <is>
          <t>Not Started</t>
        </is>
      </c>
      <c r="H109" s="27" t="inlineStr"/>
      <c r="I109" s="30" t="inlineStr">
        <is>
          <t>TBD</t>
        </is>
      </c>
      <c r="J109" s="30" t="inlineStr">
        <is>
          <t>OPG-001</t>
        </is>
      </c>
    </row>
    <row r="110" ht="40" customHeight="1">
      <c r="A110" s="17" t="inlineStr">
        <is>
          <t>OPG-109</t>
        </is>
      </c>
      <c r="B110" s="18" t="n">
        <v>10</v>
      </c>
      <c r="C110" s="19" t="inlineStr">
        <is>
          <t>Contributor governance</t>
        </is>
      </c>
      <c r="D110" s="20" t="inlineStr">
        <is>
          <t>Quality Release &amp; Documentation</t>
        </is>
      </c>
      <c r="E110" s="20" t="inlineStr">
        <is>
          <t>CONTRIBUTING, code of conduct, DCO/CLA decision, issue/PR templates, maintainer roles, review rules, roadmap</t>
        </is>
      </c>
      <c r="F110" s="31" t="inlineStr">
        <is>
          <t>P1</t>
        </is>
      </c>
      <c r="G110" s="33" t="inlineStr">
        <is>
          <t>Not Started</t>
        </is>
      </c>
      <c r="H110" s="20" t="inlineStr"/>
      <c r="I110" s="23" t="inlineStr">
        <is>
          <t>TBD</t>
        </is>
      </c>
      <c r="J110" s="23" t="inlineStr"/>
    </row>
    <row r="111" ht="40" customHeight="1">
      <c r="A111" s="24" t="inlineStr">
        <is>
          <t>OPG-110</t>
        </is>
      </c>
      <c r="B111" s="25" t="n">
        <v>10</v>
      </c>
      <c r="C111" s="26" t="inlineStr">
        <is>
          <t>Compatibility matrix</t>
        </is>
      </c>
      <c r="D111" s="27" t="inlineStr">
        <is>
          <t>Quality Release &amp; Documentation</t>
        </is>
      </c>
      <c r="E111" s="27" t="inlineStr">
        <is>
          <t>Publish and test supported Python, OS, ecosystems, manifest versions, report schemas, action versions</t>
        </is>
      </c>
      <c r="F111" s="32" t="inlineStr">
        <is>
          <t>P1</t>
        </is>
      </c>
      <c r="G111" s="33" t="inlineStr">
        <is>
          <t>Not Started</t>
        </is>
      </c>
      <c r="H111" s="27" t="inlineStr"/>
      <c r="I111" s="30" t="inlineStr">
        <is>
          <t>TBD</t>
        </is>
      </c>
      <c r="J111" s="30" t="inlineStr">
        <is>
          <t>OPG-004</t>
        </is>
      </c>
    </row>
    <row r="112" ht="40" customHeight="1">
      <c r="A112" s="17" t="inlineStr">
        <is>
          <t>OPG-111</t>
        </is>
      </c>
      <c r="B112" s="18" t="n">
        <v>11</v>
      </c>
      <c r="C112" s="19" t="inlineStr">
        <is>
          <t>Public benchmark methodology</t>
        </is>
      </c>
      <c r="D112" s="20" t="inlineStr">
        <is>
          <t>Adoption Validation &amp; Evidence</t>
        </is>
      </c>
      <c r="E112" s="20" t="inlineStr">
        <is>
          <t>Labeled license-safe dataset and metrics for decision accuracy, false positives, coverage, provider failure, latency</t>
        </is>
      </c>
      <c r="F112" s="31" t="inlineStr">
        <is>
          <t>P1</t>
        </is>
      </c>
      <c r="G112" s="33" t="inlineStr">
        <is>
          <t>Not Started</t>
        </is>
      </c>
      <c r="H112" s="20" t="inlineStr"/>
      <c r="I112" s="23" t="inlineStr">
        <is>
          <t>TBD</t>
        </is>
      </c>
      <c r="J112" s="23" t="inlineStr">
        <is>
          <t>OPG-100</t>
        </is>
      </c>
    </row>
    <row r="113" ht="40" customHeight="1">
      <c r="A113" s="24" t="inlineStr">
        <is>
          <t>OPG-112</t>
        </is>
      </c>
      <c r="B113" s="25" t="n">
        <v>11</v>
      </c>
      <c r="C113" s="26" t="inlineStr">
        <is>
          <t>Independent pilot program</t>
        </is>
      </c>
      <c r="D113" s="27" t="inlineStr">
        <is>
          <t>Adoption Validation &amp; Evidence</t>
        </is>
      </c>
      <c r="E113" s="27" t="inlineStr">
        <is>
          <t>At least five pilots outside author's own projects; consented org context, workflow, findings, outcomes, reproducible evidence</t>
        </is>
      </c>
      <c r="F113" s="32" t="inlineStr">
        <is>
          <t>P1</t>
        </is>
      </c>
      <c r="G113" s="33" t="inlineStr">
        <is>
          <t>Not Started</t>
        </is>
      </c>
      <c r="H113" s="27" t="inlineStr"/>
      <c r="I113" s="30" t="inlineStr">
        <is>
          <t>TBD</t>
        </is>
      </c>
      <c r="J113" s="30" t="inlineStr"/>
    </row>
    <row r="114" ht="40" customHeight="1">
      <c r="A114" s="17" t="inlineStr">
        <is>
          <t>OPG-113</t>
        </is>
      </c>
      <c r="B114" s="18" t="n">
        <v>11</v>
      </c>
      <c r="C114" s="19" t="inlineStr">
        <is>
          <t>Adoption telemetry without surveillance</t>
        </is>
      </c>
      <c r="D114" s="20" t="inlineStr">
        <is>
          <t>Adoption Validation &amp; Evidence</t>
        </is>
      </c>
      <c r="E114" s="20" t="inlineStr">
        <is>
          <t>Opt-in aggregate scans, repeat usage, action references, downloads, versions; privacy notice; complete disablement supported</t>
        </is>
      </c>
      <c r="F114" s="31" t="inlineStr">
        <is>
          <t>P1</t>
        </is>
      </c>
      <c r="G114" s="33" t="inlineStr">
        <is>
          <t>Not Started</t>
        </is>
      </c>
      <c r="H114" s="20" t="inlineStr"/>
      <c r="I114" s="23" t="inlineStr">
        <is>
          <t>TBD</t>
        </is>
      </c>
      <c r="J114" s="23" t="inlineStr"/>
    </row>
    <row r="115" ht="40" customHeight="1">
      <c r="A115" s="24" t="inlineStr">
        <is>
          <t>OPG-114</t>
        </is>
      </c>
      <c r="B115" s="25" t="n">
        <v>11</v>
      </c>
      <c r="C115" s="26" t="inlineStr">
        <is>
          <t>Impact evidence ledger</t>
        </is>
      </c>
      <c r="D115" s="27" t="inlineStr">
        <is>
          <t>Adoption Validation &amp; Evidence</t>
        </is>
      </c>
      <c r="E115" s="27" t="inlineStr">
        <is>
          <t>Dated independent repositories, issues, PRs, citations, talks, pilots, findings, remediation; distinguish independent from self</t>
        </is>
      </c>
      <c r="F115" s="32" t="inlineStr">
        <is>
          <t>P1</t>
        </is>
      </c>
      <c r="G115" s="33" t="inlineStr">
        <is>
          <t>Not Started</t>
        </is>
      </c>
      <c r="H115" s="27" t="inlineStr"/>
      <c r="I115" s="30" t="inlineStr">
        <is>
          <t>TBD</t>
        </is>
      </c>
      <c r="J115" s="30" t="inlineStr"/>
    </row>
    <row r="116" ht="40" customHeight="1">
      <c r="A116" s="17" t="inlineStr">
        <is>
          <t>OPG-115</t>
        </is>
      </c>
      <c r="B116" s="18" t="n">
        <v>11</v>
      </c>
      <c r="C116" s="19" t="inlineStr">
        <is>
          <t>Outcome validation</t>
        </is>
      </c>
      <c r="D116" s="20" t="inlineStr">
        <is>
          <t>Adoption Validation &amp; Evidence</t>
        </is>
      </c>
      <c r="E116" s="20" t="inlineStr">
        <is>
          <t>For pilot findings, verify whether teams rejected, upgraded, replaced, isolated, or accepted components; quantify impact</t>
        </is>
      </c>
      <c r="F116" s="31" t="inlineStr">
        <is>
          <t>P1</t>
        </is>
      </c>
      <c r="G116" s="33" t="inlineStr">
        <is>
          <t>Not Started</t>
        </is>
      </c>
      <c r="H116" s="20" t="inlineStr"/>
      <c r="I116" s="23" t="inlineStr">
        <is>
          <t>TBD</t>
        </is>
      </c>
      <c r="J116" s="23" t="inlineStr">
        <is>
          <t>OPG-112</t>
        </is>
      </c>
    </row>
    <row r="117" ht="40" customHeight="1">
      <c r="A117" s="24" t="inlineStr">
        <is>
          <t>OPG-116</t>
        </is>
      </c>
      <c r="B117" s="25" t="n">
        <v>11</v>
      </c>
      <c r="C117" s="26" t="inlineStr">
        <is>
          <t>External contributor pathway</t>
        </is>
      </c>
      <c r="D117" s="27" t="inlineStr">
        <is>
          <t>Adoption Validation &amp; Evidence</t>
        </is>
      </c>
      <c r="E117" s="27" t="inlineStr">
        <is>
          <t>Label good-first issues, document setup, enforce review standards; report external contributors and merged changes</t>
        </is>
      </c>
      <c r="F117" s="32" t="inlineStr">
        <is>
          <t>P1</t>
        </is>
      </c>
      <c r="G117" s="33" t="inlineStr">
        <is>
          <t>Not Started</t>
        </is>
      </c>
      <c r="H117" s="27" t="inlineStr"/>
      <c r="I117" s="30" t="inlineStr">
        <is>
          <t>TBD</t>
        </is>
      </c>
      <c r="J117" s="30" t="inlineStr">
        <is>
          <t>OPG-109</t>
        </is>
      </c>
    </row>
    <row r="118" ht="40" customHeight="1">
      <c r="A118" s="17" t="inlineStr">
        <is>
          <t>OPG-117</t>
        </is>
      </c>
      <c r="B118" s="18" t="n">
        <v>11</v>
      </c>
      <c r="C118" s="19" t="inlineStr">
        <is>
          <t>Independent technical review</t>
        </is>
      </c>
      <c r="D118" s="20" t="inlineStr">
        <is>
          <t>Adoption Validation &amp; Evidence</t>
        </is>
      </c>
      <c r="E118" s="20" t="inlineStr">
        <is>
          <t>At least three qualified supply-chain security practitioners test defined scenarios and document methodology and findings</t>
        </is>
      </c>
      <c r="F118" s="31" t="inlineStr">
        <is>
          <t>P1</t>
        </is>
      </c>
      <c r="G118" s="33" t="inlineStr">
        <is>
          <t>Not Started</t>
        </is>
      </c>
      <c r="H118" s="20" t="inlineStr"/>
      <c r="I118" s="23" t="inlineStr">
        <is>
          <t>TBD</t>
        </is>
      </c>
      <c r="J118" s="23" t="inlineStr"/>
    </row>
    <row r="119" ht="40" customHeight="1">
      <c r="A119" s="24" t="inlineStr">
        <is>
          <t>OPG-118</t>
        </is>
      </c>
      <c r="B119" s="25" t="n">
        <v>11</v>
      </c>
      <c r="C119" s="26" t="inlineStr">
        <is>
          <t>Academic evaluation package</t>
        </is>
      </c>
      <c r="D119" s="27" t="inlineStr">
        <is>
          <t>Adoption Validation &amp; Evidence</t>
        </is>
      </c>
      <c r="E119" s="27" t="inlineStr">
        <is>
          <t>Citable release, DOI/archive, method paper, dataset card, reproducibility instructions, citation file</t>
        </is>
      </c>
      <c r="F119" s="35" t="inlineStr">
        <is>
          <t>P2</t>
        </is>
      </c>
      <c r="G119" s="33" t="inlineStr">
        <is>
          <t>Not Started</t>
        </is>
      </c>
      <c r="H119" s="27" t="inlineStr"/>
      <c r="I119" s="30" t="inlineStr">
        <is>
          <t>TBD</t>
        </is>
      </c>
      <c r="J119" s="30" t="inlineStr">
        <is>
          <t>OPG-111</t>
        </is>
      </c>
    </row>
    <row r="120" ht="40" customHeight="1">
      <c r="A120" s="17" t="inlineStr">
        <is>
          <t>OPG-119</t>
        </is>
      </c>
      <c r="B120" s="18" t="n">
        <v>11</v>
      </c>
      <c r="C120" s="19" t="inlineStr">
        <is>
          <t>Upstream ecosystem contribution</t>
        </is>
      </c>
      <c r="D120" s="20" t="inlineStr">
        <is>
          <t>Adoption Validation &amp; Evidence</t>
        </is>
      </c>
      <c r="E120" s="20" t="inlineStr">
        <is>
          <t>Contribute findings, rules, data-quality fixes to OpenSSF/OSV/Sigstore/SLSA or registries; retain accepted evidence</t>
        </is>
      </c>
      <c r="F120" s="31" t="inlineStr">
        <is>
          <t>P1</t>
        </is>
      </c>
      <c r="G120" s="33" t="inlineStr">
        <is>
          <t>Not Started</t>
        </is>
      </c>
      <c r="H120" s="20" t="inlineStr"/>
      <c r="I120" s="23" t="inlineStr">
        <is>
          <t>TBD</t>
        </is>
      </c>
      <c r="J120" s="23" t="inlineStr"/>
    </row>
    <row r="121" ht="40" customHeight="1">
      <c r="A121" s="24" t="inlineStr">
        <is>
          <t>OPG-120</t>
        </is>
      </c>
      <c r="B121" s="25" t="n">
        <v>11</v>
      </c>
      <c r="C121" s="26" t="inlineStr">
        <is>
          <t>Case-study publication</t>
        </is>
      </c>
      <c r="D121" s="27" t="inlineStr">
        <is>
          <t>Adoption Validation &amp; Evidence</t>
        </is>
      </c>
      <c r="E121" s="27" t="inlineStr">
        <is>
          <t>At least two consented independently verifiable case studies with baseline, intervention, outcome, third-party confirmation</t>
        </is>
      </c>
      <c r="F121" s="32" t="inlineStr">
        <is>
          <t>P1</t>
        </is>
      </c>
      <c r="G121" s="33" t="inlineStr">
        <is>
          <t>Not Started</t>
        </is>
      </c>
      <c r="H121" s="27" t="inlineStr"/>
      <c r="I121" s="30" t="inlineStr">
        <is>
          <t>TBD</t>
        </is>
      </c>
      <c r="J121" s="30" t="inlineStr">
        <is>
          <t>OPG-112</t>
        </is>
      </c>
    </row>
    <row r="122" ht="40" customHeight="1">
      <c r="A122" s="17" t="inlineStr">
        <is>
          <t>OPG-121</t>
        </is>
      </c>
      <c r="B122" s="18" t="n">
        <v>11</v>
      </c>
      <c r="C122" s="19" t="inlineStr">
        <is>
          <t>Sustained-impact measurement</t>
        </is>
      </c>
      <c r="D122" s="20" t="inlineStr">
        <is>
          <t>Adoption Validation &amp; Evidence</t>
        </is>
      </c>
      <c r="E122" s="20" t="inlineStr">
        <is>
          <t>Update adoption and outcome evidence quarterly for 12 months; preserve dated exports; explain discontinuities</t>
        </is>
      </c>
      <c r="F122" s="31" t="inlineStr">
        <is>
          <t>P1</t>
        </is>
      </c>
      <c r="G122" s="33" t="inlineStr">
        <is>
          <t>Not Started</t>
        </is>
      </c>
      <c r="H122" s="20" t="inlineStr"/>
      <c r="I122" s="23" t="inlineStr">
        <is>
          <t>TBD</t>
        </is>
      </c>
      <c r="J122" s="23" t="inlineStr">
        <is>
          <t>OPG-114</t>
        </is>
      </c>
    </row>
    <row r="123" ht="40" customHeight="1">
      <c r="A123" s="24" t="inlineStr">
        <is>
          <t>OPG-122</t>
        </is>
      </c>
      <c r="B123" s="25" t="n">
        <v>12</v>
      </c>
      <c r="C123" s="26" t="inlineStr">
        <is>
          <t>Evidence-confidence fusion [Research]</t>
        </is>
      </c>
      <c r="D123" s="27" t="inlineStr">
        <is>
          <t>Differentiation Research &amp; IP Controls</t>
        </is>
      </c>
      <c r="E123" s="27" t="inlineStr">
        <is>
          <t>Combine source authority, recency, independence, agreement, completeness into calibrated confidence with uncertainty</t>
        </is>
      </c>
      <c r="F123" s="32" t="inlineStr">
        <is>
          <t>P1</t>
        </is>
      </c>
      <c r="G123" s="33" t="inlineStr">
        <is>
          <t>Not Started</t>
        </is>
      </c>
      <c r="H123" s="27" t="inlineStr"/>
      <c r="I123" s="30" t="inlineStr">
        <is>
          <t>TBD</t>
        </is>
      </c>
      <c r="J123" s="30" t="inlineStr"/>
    </row>
    <row r="124" ht="40" customHeight="1">
      <c r="A124" s="17" t="inlineStr">
        <is>
          <t>OPG-123</t>
        </is>
      </c>
      <c r="B124" s="18" t="n">
        <v>12</v>
      </c>
      <c r="C124" s="19" t="inlineStr">
        <is>
          <t>Temporal policy replay [Research]</t>
        </is>
      </c>
      <c r="D124" s="20" t="inlineStr">
        <is>
          <t>Differentiation Research &amp; IP Controls</t>
        </is>
      </c>
      <c r="E124" s="20" t="inlineStr">
        <is>
          <t>Reconstruct decision at historical time using versioned evidence and policy; deterministic replay on public dataset</t>
        </is>
      </c>
      <c r="F124" s="31" t="inlineStr">
        <is>
          <t>P1</t>
        </is>
      </c>
      <c r="G124" s="33" t="inlineStr">
        <is>
          <t>Not Started</t>
        </is>
      </c>
      <c r="H124" s="20" t="inlineStr"/>
      <c r="I124" s="23" t="inlineStr">
        <is>
          <t>TBD</t>
        </is>
      </c>
      <c r="J124" s="23" t="inlineStr">
        <is>
          <t>OPG-056</t>
        </is>
      </c>
    </row>
    <row r="125" ht="40" customHeight="1">
      <c r="A125" s="24" t="inlineStr">
        <is>
          <t>OPG-124</t>
        </is>
      </c>
      <c r="B125" s="25" t="n">
        <v>12</v>
      </c>
      <c r="C125" s="26" t="inlineStr">
        <is>
          <t>Counterfactual remediation optimizer [Research]</t>
        </is>
      </c>
      <c r="D125" s="27" t="inlineStr">
        <is>
          <t>Differentiation Research &amp; IP Controls</t>
        </is>
      </c>
      <c r="E125" s="27" t="inlineStr">
        <is>
          <t>Compute smallest evidence-backed set of upgrades/replacements/controls/exceptions that changes a decision</t>
        </is>
      </c>
      <c r="F125" s="32" t="inlineStr">
        <is>
          <t>P1</t>
        </is>
      </c>
      <c r="G125" s="33" t="inlineStr">
        <is>
          <t>Not Started</t>
        </is>
      </c>
      <c r="H125" s="27" t="inlineStr"/>
      <c r="I125" s="30" t="inlineStr">
        <is>
          <t>TBD</t>
        </is>
      </c>
      <c r="J125" s="30" t="inlineStr">
        <is>
          <t>OPG-038,OPG-043</t>
        </is>
      </c>
    </row>
    <row r="126" ht="40" customHeight="1">
      <c r="A126" s="17" t="inlineStr">
        <is>
          <t>OPG-125</t>
        </is>
      </c>
      <c r="B126" s="18" t="n">
        <v>12</v>
      </c>
      <c r="C126" s="19" t="inlineStr">
        <is>
          <t>Supply-chain change-point detection [Research]</t>
        </is>
      </c>
      <c r="D126" s="20" t="inlineStr">
        <is>
          <t>Differentiation Research &amp; IP Controls</t>
        </is>
      </c>
      <c r="E126" s="20" t="inlineStr">
        <is>
          <t>Detect statistically significant shifts in release cadence, ownership, artifact composition; benchmark against labeled incidents</t>
        </is>
      </c>
      <c r="F126" s="31" t="inlineStr">
        <is>
          <t>P1</t>
        </is>
      </c>
      <c r="G126" s="33" t="inlineStr">
        <is>
          <t>Not Started</t>
        </is>
      </c>
      <c r="H126" s="20" t="inlineStr"/>
      <c r="I126" s="23" t="inlineStr">
        <is>
          <t>TBD</t>
        </is>
      </c>
      <c r="J126" s="23" t="inlineStr">
        <is>
          <t>OPG-051</t>
        </is>
      </c>
    </row>
    <row r="127" ht="40" customHeight="1">
      <c r="A127" s="24" t="inlineStr">
        <is>
          <t>OPG-126</t>
        </is>
      </c>
      <c r="B127" s="25" t="n">
        <v>12</v>
      </c>
      <c r="C127" s="26" t="inlineStr">
        <is>
          <t>Blast-radius-aware policy [Research]</t>
        </is>
      </c>
      <c r="D127" s="27" t="inlineStr">
        <is>
          <t>Differentiation Research &amp; IP Controls</t>
        </is>
      </c>
      <c r="E127" s="27" t="inlineStr">
        <is>
          <t>Combine dependency graph position, runtime reachability, deployment exposure, business criticality for org-specific impact</t>
        </is>
      </c>
      <c r="F127" s="32" t="inlineStr">
        <is>
          <t>P1</t>
        </is>
      </c>
      <c r="G127" s="33" t="inlineStr">
        <is>
          <t>Not Started</t>
        </is>
      </c>
      <c r="H127" s="27" t="inlineStr"/>
      <c r="I127" s="30" t="inlineStr">
        <is>
          <t>TBD</t>
        </is>
      </c>
      <c r="J127" s="30" t="inlineStr">
        <is>
          <t>OPG-020,OPG-035</t>
        </is>
      </c>
    </row>
    <row r="128" ht="40" customHeight="1">
      <c r="A128" s="17" t="inlineStr">
        <is>
          <t>OPG-127</t>
        </is>
      </c>
      <c r="B128" s="18" t="n">
        <v>12</v>
      </c>
      <c r="C128" s="19" t="inlineStr">
        <is>
          <t>Adversarial package-campaign correlation [Research]</t>
        </is>
      </c>
      <c r="D128" s="20" t="inlineStr">
        <is>
          <t>Differentiation Research &amp; IP Controls</t>
        </is>
      </c>
      <c r="E128" s="20" t="inlineStr">
        <is>
          <t>Cluster related suspicious packages by names, publishers, infrastructure, code/artifact similarity; explainable edges</t>
        </is>
      </c>
      <c r="F128" s="34" t="inlineStr">
        <is>
          <t>P2</t>
        </is>
      </c>
      <c r="G128" s="33" t="inlineStr">
        <is>
          <t>Not Started</t>
        </is>
      </c>
      <c r="H128" s="20" t="inlineStr"/>
      <c r="I128" s="23" t="inlineStr">
        <is>
          <t>TBD</t>
        </is>
      </c>
      <c r="J128" s="23" t="inlineStr">
        <is>
          <t>OPG-046</t>
        </is>
      </c>
    </row>
    <row r="129" ht="40" customHeight="1">
      <c r="A129" s="24" t="inlineStr">
        <is>
          <t>OPG-128</t>
        </is>
      </c>
      <c r="B129" s="25" t="n">
        <v>12</v>
      </c>
      <c r="C129" s="26" t="inlineStr">
        <is>
          <t>Policy drift detector [Research]</t>
        </is>
      </c>
      <c r="D129" s="27" t="inlineStr">
        <is>
          <t>Differentiation Research &amp; IP Controls</t>
        </is>
      </c>
      <c r="E129" s="27" t="inlineStr">
        <is>
          <t>Detect when provider/schema/scoring changes alter outcomes despite unchanged org intent; identify affected rules</t>
        </is>
      </c>
      <c r="F129" s="32" t="inlineStr">
        <is>
          <t>P1</t>
        </is>
      </c>
      <c r="G129" s="33" t="inlineStr">
        <is>
          <t>Not Started</t>
        </is>
      </c>
      <c r="H129" s="27" t="inlineStr"/>
      <c r="I129" s="30" t="inlineStr">
        <is>
          <t>TBD</t>
        </is>
      </c>
      <c r="J129" s="30" t="inlineStr">
        <is>
          <t>OPG-056</t>
        </is>
      </c>
    </row>
    <row r="130" ht="40" customHeight="1">
      <c r="A130" s="17" t="inlineStr">
        <is>
          <t>OPG-129</t>
        </is>
      </c>
      <c r="B130" s="18" t="n">
        <v>12</v>
      </c>
      <c r="C130" s="19" t="inlineStr">
        <is>
          <t>Federated evidence sharing [Research]</t>
        </is>
      </c>
      <c r="D130" s="20" t="inlineStr">
        <is>
          <t>Differentiation Research &amp; IP Controls</t>
        </is>
      </c>
      <c r="E130" s="20" t="inlineStr">
        <is>
          <t>Privacy-preserving exchange of verified package observations using signed minimal disclosures with revocation</t>
        </is>
      </c>
      <c r="F130" s="34" t="inlineStr">
        <is>
          <t>P2</t>
        </is>
      </c>
      <c r="G130" s="33" t="inlineStr">
        <is>
          <t>Not Started</t>
        </is>
      </c>
      <c r="H130" s="20" t="inlineStr"/>
      <c r="I130" s="23" t="inlineStr">
        <is>
          <t>TBD</t>
        </is>
      </c>
      <c r="J130" s="23" t="inlineStr">
        <is>
          <t>OPG-023</t>
        </is>
      </c>
    </row>
    <row r="131" ht="40" customHeight="1">
      <c r="A131" s="24" t="inlineStr">
        <is>
          <t>OPG-130</t>
        </is>
      </c>
      <c r="B131" s="25" t="n">
        <v>12</v>
      </c>
      <c r="C131" s="26" t="inlineStr">
        <is>
          <t>Human-review learning safeguards [Research]</t>
        </is>
      </c>
      <c r="D131" s="27" t="inlineStr">
        <is>
          <t>Differentiation Research &amp; IP Controls</t>
        </is>
      </c>
      <c r="E131" s="27" t="inlineStr">
        <is>
          <t>Use analyst outcomes to prioritize review without auto-changing enforcement; bias controls, holdout evaluation, rollback</t>
        </is>
      </c>
      <c r="F131" s="35" t="inlineStr">
        <is>
          <t>P2</t>
        </is>
      </c>
      <c r="G131" s="33" t="inlineStr">
        <is>
          <t>Not Started</t>
        </is>
      </c>
      <c r="H131" s="27" t="inlineStr"/>
      <c r="I131" s="30" t="inlineStr">
        <is>
          <t>TBD</t>
        </is>
      </c>
      <c r="J131" s="30" t="inlineStr">
        <is>
          <t>OPG-061</t>
        </is>
      </c>
    </row>
    <row r="132" ht="40" customHeight="1">
      <c r="A132" s="17" t="inlineStr">
        <is>
          <t>OPG-131</t>
        </is>
      </c>
      <c r="B132" s="18" t="n">
        <v>12</v>
      </c>
      <c r="C132" s="19" t="inlineStr">
        <is>
          <t>Invention disclosure and prior-art gate</t>
        </is>
      </c>
      <c r="D132" s="20" t="inlineStr">
        <is>
          <t>Differentiation Research &amp; IP Controls</t>
        </is>
      </c>
      <c r="E132" s="20" t="inlineStr">
        <is>
          <t>Document inventors, problem, mechanism, alternatives, experiments, dates, known prior art before public release of research features</t>
        </is>
      </c>
      <c r="F132" s="21" t="inlineStr">
        <is>
          <t>P0</t>
        </is>
      </c>
      <c r="G132" s="33" t="inlineStr">
        <is>
          <t>Not Started</t>
        </is>
      </c>
      <c r="H132" s="20" t="inlineStr"/>
      <c r="I132" s="23" t="inlineStr">
        <is>
          <t>TBD</t>
        </is>
      </c>
      <c r="J132" s="23" t="inlineStr"/>
    </row>
    <row r="133" ht="40" customHeight="1">
      <c r="A133" s="24" t="inlineStr">
        <is>
          <t>OPG-132</t>
        </is>
      </c>
      <c r="B133" s="25" t="n">
        <v>12</v>
      </c>
      <c r="C133" s="26" t="inlineStr">
        <is>
          <t>Authorship and provenance archive</t>
        </is>
      </c>
      <c r="D133" s="27" t="inlineStr">
        <is>
          <t>Differentiation Research &amp; IP Controls</t>
        </is>
      </c>
      <c r="E133" s="27" t="inlineStr">
        <is>
          <t>Preserve signed commits, design notebooks, dated experiments, releases, contributor attestations so authorship is auditable</t>
        </is>
      </c>
      <c r="F133" s="28" t="inlineStr">
        <is>
          <t>P0</t>
        </is>
      </c>
      <c r="G133" s="33" t="inlineStr">
        <is>
          <t>Not Started</t>
        </is>
      </c>
      <c r="H133" s="27" t="inlineStr"/>
      <c r="I133" s="30" t="inlineStr">
        <is>
          <t>TBD</t>
        </is>
      </c>
      <c r="J133" s="30" t="inlineStr"/>
    </row>
    <row r="134" ht="40" customHeight="1">
      <c r="A134" s="17" t="inlineStr">
        <is>
          <t>OPG-133</t>
        </is>
      </c>
      <c r="B134" s="18" t="n">
        <v>13</v>
      </c>
      <c r="C134" s="19" t="inlineStr">
        <is>
          <t>SPDX license detection</t>
        </is>
      </c>
      <c r="D134" s="20" t="inlineStr">
        <is>
          <t>License Compliance</t>
        </is>
      </c>
      <c r="E134" s="20" t="inlineStr">
        <is>
          <t>Identify declared license from registry metadata and package files; parse SPDX expressions; store canonical SPDX identifier</t>
        </is>
      </c>
      <c r="F134" s="21" t="inlineStr">
        <is>
          <t>P0</t>
        </is>
      </c>
      <c r="G134" s="33" t="inlineStr">
        <is>
          <t>Not Started</t>
        </is>
      </c>
      <c r="H134" s="20" t="inlineStr"/>
      <c r="I134" s="23" t="inlineStr">
        <is>
          <t>TBD</t>
        </is>
      </c>
      <c r="J134" s="23" t="inlineStr">
        <is>
          <t>OPG-031</t>
        </is>
      </c>
    </row>
    <row r="135" ht="40" customHeight="1">
      <c r="A135" s="24" t="inlineStr">
        <is>
          <t>OPG-134</t>
        </is>
      </c>
      <c r="B135" s="25" t="n">
        <v>13</v>
      </c>
      <c r="C135" s="26" t="inlineStr">
        <is>
          <t>Copyleft propagation analysis</t>
        </is>
      </c>
      <c r="D135" s="27" t="inlineStr">
        <is>
          <t>License Compliance</t>
        </is>
      </c>
      <c r="E135" s="27" t="inlineStr">
        <is>
          <t>Flag GPL-2/3, LGPL, AGPL, MPL, EPL; determine strong/weak copyleft applicability based on link type</t>
        </is>
      </c>
      <c r="F135" s="28" t="inlineStr">
        <is>
          <t>P0</t>
        </is>
      </c>
      <c r="G135" s="33" t="inlineStr">
        <is>
          <t>Not Started</t>
        </is>
      </c>
      <c r="H135" s="27" t="inlineStr"/>
      <c r="I135" s="30" t="inlineStr">
        <is>
          <t>TBD</t>
        </is>
      </c>
      <c r="J135" s="30" t="inlineStr">
        <is>
          <t>OPG-133</t>
        </is>
      </c>
    </row>
    <row r="136" ht="40" customHeight="1">
      <c r="A136" s="17" t="inlineStr">
        <is>
          <t>OPG-135</t>
        </is>
      </c>
      <c r="B136" s="18" t="n">
        <v>13</v>
      </c>
      <c r="C136" s="19" t="inlineStr">
        <is>
          <t>License compatibility matrix</t>
        </is>
      </c>
      <c r="D136" s="20" t="inlineStr">
        <is>
          <t>License Compliance</t>
        </is>
      </c>
      <c r="E136" s="20" t="inlineStr">
        <is>
          <t>Configurable compatibility matrix; flag incompatible combinations in dependency graph; custom allow/deny rules</t>
        </is>
      </c>
      <c r="F136" s="31" t="inlineStr">
        <is>
          <t>P1</t>
        </is>
      </c>
      <c r="G136" s="33" t="inlineStr">
        <is>
          <t>Not Started</t>
        </is>
      </c>
      <c r="H136" s="20" t="inlineStr"/>
      <c r="I136" s="23" t="inlineStr">
        <is>
          <t>TBD</t>
        </is>
      </c>
      <c r="J136" s="23" t="inlineStr">
        <is>
          <t>OPG-133,OPG-134</t>
        </is>
      </c>
    </row>
    <row r="137" ht="40" customHeight="1">
      <c r="A137" s="24" t="inlineStr">
        <is>
          <t>OPG-136</t>
        </is>
      </c>
      <c r="B137" s="25" t="n">
        <v>13</v>
      </c>
      <c r="C137" s="26" t="inlineStr">
        <is>
          <t>Dual-license and commercial restriction detection</t>
        </is>
      </c>
      <c r="D137" s="27" t="inlineStr">
        <is>
          <t>License Compliance</t>
        </is>
      </c>
      <c r="E137" s="27" t="inlineStr">
        <is>
          <t>Detect dual-licensed packages with commercial fees or non-commercial-use clauses; surface as REVIEW finding</t>
        </is>
      </c>
      <c r="F137" s="32" t="inlineStr">
        <is>
          <t>P1</t>
        </is>
      </c>
      <c r="G137" s="33" t="inlineStr">
        <is>
          <t>Not Started</t>
        </is>
      </c>
      <c r="H137" s="27" t="inlineStr"/>
      <c r="I137" s="30" t="inlineStr">
        <is>
          <t>TBD</t>
        </is>
      </c>
      <c r="J137" s="30" t="inlineStr">
        <is>
          <t>OPG-133</t>
        </is>
      </c>
    </row>
    <row r="138" ht="40" customHeight="1">
      <c r="A138" s="17" t="inlineStr">
        <is>
          <t>OPG-137</t>
        </is>
      </c>
      <c r="B138" s="18" t="n">
        <v>13</v>
      </c>
      <c r="C138" s="19" t="inlineStr">
        <is>
          <t>License compliance report</t>
        </is>
      </c>
      <c r="D138" s="20" t="inlineStr">
        <is>
          <t>License Compliance</t>
        </is>
      </c>
      <c r="E138" s="20" t="inlineStr">
        <is>
          <t>Machine-readable report per component: license, compatibility verdict, applicable policy rule; JSON and Markdown outputs</t>
        </is>
      </c>
      <c r="F138" s="31" t="inlineStr">
        <is>
          <t>P1</t>
        </is>
      </c>
      <c r="G138" s="33" t="inlineStr">
        <is>
          <t>Not Started</t>
        </is>
      </c>
      <c r="H138" s="20" t="inlineStr"/>
      <c r="I138" s="23" t="inlineStr">
        <is>
          <t>TBD</t>
        </is>
      </c>
      <c r="J138" s="23" t="inlineStr">
        <is>
          <t>OPG-133,OPG-134,OPG-135</t>
        </is>
      </c>
    </row>
    <row r="139" ht="40" customHeight="1">
      <c r="A139" s="24" t="inlineStr">
        <is>
          <t>OPG-138</t>
        </is>
      </c>
      <c r="B139" s="25" t="n">
        <v>13</v>
      </c>
      <c r="C139" s="26" t="inlineStr">
        <is>
          <t>Attribution / NOTICE file generation</t>
        </is>
      </c>
      <c r="D139" s="27" t="inlineStr">
        <is>
          <t>License Compliance</t>
        </is>
      </c>
      <c r="E139" s="27" t="inlineStr">
        <is>
          <t>Aggregate copyright notices and license texts for all direct and transitive dependencies; suitable for distribution bundles</t>
        </is>
      </c>
      <c r="F139" s="32" t="inlineStr">
        <is>
          <t>P1</t>
        </is>
      </c>
      <c r="G139" s="33" t="inlineStr">
        <is>
          <t>Not Started</t>
        </is>
      </c>
      <c r="H139" s="27" t="inlineStr"/>
      <c r="I139" s="30" t="inlineStr">
        <is>
          <t>TBD</t>
        </is>
      </c>
      <c r="J139" s="30" t="inlineStr">
        <is>
          <t>OPG-133,OPG-020</t>
        </is>
      </c>
    </row>
    <row r="140" ht="40" customHeight="1">
      <c r="A140" s="17" t="inlineStr">
        <is>
          <t>OPG-139</t>
        </is>
      </c>
      <c r="B140" s="18" t="n">
        <v>14</v>
      </c>
      <c r="C140" s="19" t="inlineStr">
        <is>
          <t>Dependency pinning policy enforcement</t>
        </is>
      </c>
      <c r="D140" s="20" t="inlineStr">
        <is>
          <t>Dependency Management Extended</t>
        </is>
      </c>
      <c r="E140" s="20" t="inlineStr">
        <is>
          <t>Flag manifests with floating ranges (^, ~, *, latest, &gt;x); configurable allowed range styles; lockfile hash-pin configurable</t>
        </is>
      </c>
      <c r="F140" s="21" t="inlineStr">
        <is>
          <t>P0</t>
        </is>
      </c>
      <c r="G140" s="33" t="inlineStr">
        <is>
          <t>Not Started</t>
        </is>
      </c>
      <c r="H140" s="20" t="inlineStr"/>
      <c r="I140" s="23" t="inlineStr">
        <is>
          <t>TBD</t>
        </is>
      </c>
      <c r="J140" s="23" t="inlineStr">
        <is>
          <t>OPG-015,OPG-017</t>
        </is>
      </c>
    </row>
    <row r="141" ht="40" customHeight="1">
      <c r="A141" s="24" t="inlineStr">
        <is>
          <t>OPG-140</t>
        </is>
      </c>
      <c r="B141" s="25" t="n">
        <v>14</v>
      </c>
      <c r="C141" s="26" t="inlineStr">
        <is>
          <t>End-of-life and formal deprecation tracking</t>
        </is>
      </c>
      <c r="D141" s="27" t="inlineStr">
        <is>
          <t>Dependency Management Extended</t>
        </is>
      </c>
      <c r="E141" s="27" t="inlineStr">
        <is>
          <t>Ingest EOL dates from registry flags, endoflife.date API, language-runtime schedules; surface as REVIEW/PROHIBITED finding</t>
        </is>
      </c>
      <c r="F141" s="28" t="inlineStr">
        <is>
          <t>P0</t>
        </is>
      </c>
      <c r="G141" s="33" t="inlineStr">
        <is>
          <t>Not Started</t>
        </is>
      </c>
      <c r="H141" s="27" t="inlineStr"/>
      <c r="I141" s="30" t="inlineStr">
        <is>
          <t>TBD</t>
        </is>
      </c>
      <c r="J141" s="30" t="inlineStr">
        <is>
          <t>OPG-031</t>
        </is>
      </c>
    </row>
    <row r="142" ht="40" customHeight="1">
      <c r="A142" s="17" t="inlineStr">
        <is>
          <t>OPG-141</t>
        </is>
      </c>
      <c r="B142" s="18" t="n">
        <v>15</v>
      </c>
      <c r="C142" s="19" t="inlineStr">
        <is>
          <t>Private registry provider</t>
        </is>
      </c>
      <c r="D142" s="20" t="inlineStr">
        <is>
          <t>Evidence Providers Extended</t>
        </is>
      </c>
      <c r="E142" s="20" t="inlineStr">
        <is>
          <t>JFrog Artifactory, Sonatype Nexus, GitHub Packages, AWS CodeArtifact, Azure Artifacts, GCP Artifact Registry support</t>
        </is>
      </c>
      <c r="F142" s="31" t="inlineStr">
        <is>
          <t>P1</t>
        </is>
      </c>
      <c r="G142" s="33" t="inlineStr">
        <is>
          <t>Not Started</t>
        </is>
      </c>
      <c r="H142" s="20" t="inlineStr"/>
      <c r="I142" s="23" t="inlineStr">
        <is>
          <t>TBD</t>
        </is>
      </c>
      <c r="J142" s="23" t="inlineStr">
        <is>
          <t>OPG-023</t>
        </is>
      </c>
    </row>
    <row r="143" ht="40" customHeight="1">
      <c r="A143" s="24" t="inlineStr">
        <is>
          <t>OPG-142</t>
        </is>
      </c>
      <c r="B143" s="25" t="n">
        <v>15</v>
      </c>
      <c r="C143" s="26" t="inlineStr">
        <is>
          <t>Real-time new-version alerting</t>
        </is>
      </c>
      <c r="D143" s="27" t="inlineStr">
        <is>
          <t>Evidence Providers Extended</t>
        </is>
      </c>
      <c r="E143" s="27" t="inlineStr">
        <is>
          <t>Subscribe to registry feeds (npm hooks, PyPI RSS, crates.io); emit typed event when watched package risk score increases</t>
        </is>
      </c>
      <c r="F143" s="32" t="inlineStr">
        <is>
          <t>P1</t>
        </is>
      </c>
      <c r="G143" s="33" t="inlineStr">
        <is>
          <t>Not Started</t>
        </is>
      </c>
      <c r="H143" s="27" t="inlineStr"/>
      <c r="I143" s="30" t="inlineStr">
        <is>
          <t>TBD</t>
        </is>
      </c>
      <c r="J143" s="30" t="inlineStr">
        <is>
          <t>OPG-083</t>
        </is>
      </c>
    </row>
    <row r="144" ht="40" customHeight="1">
      <c r="A144" s="17" t="inlineStr">
        <is>
          <t>OPG-143</t>
        </is>
      </c>
      <c r="B144" s="18" t="n">
        <v>15</v>
      </c>
      <c r="C144" s="19" t="inlineStr">
        <is>
          <t>Maintainer account credibility scoring</t>
        </is>
      </c>
      <c r="D144" s="20" t="inlineStr">
        <is>
          <t>Evidence Providers Extended</t>
        </is>
      </c>
      <c r="E144" s="20" t="inlineStr">
        <is>
          <t>Score account age, MFA status, prior release history, organisational affiliation; separate from ownership-transfer detection</t>
        </is>
      </c>
      <c r="F144" s="31" t="inlineStr">
        <is>
          <t>P1</t>
        </is>
      </c>
      <c r="G144" s="33" t="inlineStr">
        <is>
          <t>Not Started</t>
        </is>
      </c>
      <c r="H144" s="20" t="inlineStr"/>
      <c r="I144" s="23" t="inlineStr">
        <is>
          <t>TBD</t>
        </is>
      </c>
      <c r="J144" s="23" t="inlineStr">
        <is>
          <t>OPG-026,OPG-052</t>
        </is>
      </c>
    </row>
    <row r="145" ht="40" customHeight="1">
      <c r="A145" s="24" t="inlineStr">
        <is>
          <t>OPG-144</t>
        </is>
      </c>
      <c r="B145" s="25" t="n">
        <v>16</v>
      </c>
      <c r="C145" s="26" t="inlineStr">
        <is>
          <t>Static behavioral analysis of package source</t>
        </is>
      </c>
      <c r="D145" s="27" t="inlineStr">
        <is>
          <t>Supply Chain Defense Extended</t>
        </is>
      </c>
      <c r="E145" s="27" t="inlineStr">
        <is>
          <t>AST-level analysis for outbound network calls, child-process spawning, filesystem writes, env-var exfiltration, dynamic eval</t>
        </is>
      </c>
      <c r="F145" s="28" t="inlineStr">
        <is>
          <t>P0</t>
        </is>
      </c>
      <c r="G145" s="33" t="inlineStr">
        <is>
          <t>Not Started</t>
        </is>
      </c>
      <c r="H145" s="27" t="inlineStr"/>
      <c r="I145" s="30" t="inlineStr">
        <is>
          <t>TBD</t>
        </is>
      </c>
      <c r="J145" s="30" t="inlineStr">
        <is>
          <t>OPG-053</t>
        </is>
      </c>
    </row>
    <row r="146" ht="40" customHeight="1">
      <c r="A146" s="17" t="inlineStr">
        <is>
          <t>OPG-145</t>
        </is>
      </c>
      <c r="B146" s="18" t="n">
        <v>16</v>
      </c>
      <c r="C146" s="19" t="inlineStr">
        <is>
          <t>Phantom dependency detection</t>
        </is>
      </c>
      <c r="D146" s="20" t="inlineStr">
        <is>
          <t>Supply Chain Defense Extended</t>
        </is>
      </c>
      <c r="E146" s="20" t="inlineStr">
        <is>
          <t>Cross-reference static import analysis of user project source against declared manifest; identify phantom-satisfied imports</t>
        </is>
      </c>
      <c r="F146" s="31" t="inlineStr">
        <is>
          <t>P1</t>
        </is>
      </c>
      <c r="G146" s="33" t="inlineStr">
        <is>
          <t>Not Started</t>
        </is>
      </c>
      <c r="H146" s="20" t="inlineStr"/>
      <c r="I146" s="23" t="inlineStr">
        <is>
          <t>TBD</t>
        </is>
      </c>
      <c r="J146" s="23" t="inlineStr">
        <is>
          <t>OPG-020</t>
        </is>
      </c>
    </row>
    <row r="147" ht="40" customHeight="1">
      <c r="A147" s="24" t="inlineStr">
        <is>
          <t>OPG-146</t>
        </is>
      </c>
      <c r="B147" s="25" t="n">
        <v>16</v>
      </c>
      <c r="C147" s="26" t="inlineStr">
        <is>
          <t>Source-artifact binding via reproducible-build equivalence</t>
        </is>
      </c>
      <c r="D147" s="27" t="inlineStr">
        <is>
          <t>Supply Chain Defense Extended</t>
        </is>
      </c>
      <c r="E147" s="27" t="inlineStr">
        <is>
          <t>Rebuild from declared source revision and compare digest to published artifact; report match, mismatch, or unverifiable</t>
        </is>
      </c>
      <c r="F147" s="32" t="inlineStr">
        <is>
          <t>P1</t>
        </is>
      </c>
      <c r="G147" s="33" t="inlineStr">
        <is>
          <t>Not Started</t>
        </is>
      </c>
      <c r="H147" s="27" t="inlineStr"/>
      <c r="I147" s="30" t="inlineStr">
        <is>
          <t>TBD</t>
        </is>
      </c>
      <c r="J147" s="30" t="inlineStr">
        <is>
          <t>OPG-049,OPG-050</t>
        </is>
      </c>
    </row>
    <row r="148" ht="40" customHeight="1">
      <c r="A148" s="17" t="inlineStr">
        <is>
          <t>OPG-147</t>
        </is>
      </c>
      <c r="B148" s="18" t="n">
        <v>16</v>
      </c>
      <c r="C148" s="19" t="inlineStr">
        <is>
          <t>Adversarial namespace squatting detection</t>
        </is>
      </c>
      <c r="D148" s="20" t="inlineStr">
        <is>
          <t>Supply Chain Defense Extended</t>
        </is>
      </c>
      <c r="E148" s="20" t="inlineStr">
        <is>
          <t>Detect recently-registered packages (&lt;30 days) closely matching popular package with no publisher history</t>
        </is>
      </c>
      <c r="F148" s="21" t="inlineStr">
        <is>
          <t>P0</t>
        </is>
      </c>
      <c r="G148" s="33" t="inlineStr">
        <is>
          <t>Not Started</t>
        </is>
      </c>
      <c r="H148" s="20" t="inlineStr"/>
      <c r="I148" s="23" t="inlineStr">
        <is>
          <t>TBD</t>
        </is>
      </c>
      <c r="J148" s="23" t="inlineStr">
        <is>
          <t>OPG-046,OPG-031</t>
        </is>
      </c>
    </row>
    <row r="149" ht="40" customHeight="1">
      <c r="A149" s="24" t="inlineStr">
        <is>
          <t>OPG-148</t>
        </is>
      </c>
      <c r="B149" s="25" t="n">
        <v>17</v>
      </c>
      <c r="C149" s="26" t="inlineStr">
        <is>
          <t>Cross-ecosystem vulnerability cascade modeling [Research]</t>
        </is>
      </c>
      <c r="D149" s="27" t="inlineStr">
        <is>
          <t>Policy Engine Extended</t>
        </is>
      </c>
      <c r="E149" s="27" t="inlineStr">
        <is>
          <t>Model CVE propagation from C/C++ libraries to wrappers across npm/PyPI/Ruby/Maven; aggregate blast-radius with benchmark</t>
        </is>
      </c>
      <c r="F149" s="32" t="inlineStr">
        <is>
          <t>P1</t>
        </is>
      </c>
      <c r="G149" s="33" t="inlineStr">
        <is>
          <t>Not Started</t>
        </is>
      </c>
      <c r="H149" s="27" t="inlineStr"/>
      <c r="I149" s="30" t="inlineStr">
        <is>
          <t>TBD</t>
        </is>
      </c>
      <c r="J149" s="30" t="inlineStr">
        <is>
          <t>OPG-020,OPG-126</t>
        </is>
      </c>
    </row>
    <row r="150" ht="40" customHeight="1">
      <c r="A150" s="17" t="inlineStr">
        <is>
          <t>OPG-149</t>
        </is>
      </c>
      <c r="B150" s="18" t="n">
        <v>18</v>
      </c>
      <c r="C150" s="19" t="inlineStr">
        <is>
          <t>SBOM generation for the analyzed project</t>
        </is>
      </c>
      <c r="D150" s="20" t="inlineStr">
        <is>
          <t>Outputs &amp; Integrations Extended</t>
        </is>
      </c>
      <c r="E150" s="20" t="inlineStr">
        <is>
          <t>CycloneDX 1.5 or SPDX 2.3 SBOM of user's project enriched with policy decisions, CVSS, EPSS, license data</t>
        </is>
      </c>
      <c r="F150" s="21" t="inlineStr">
        <is>
          <t>P0</t>
        </is>
      </c>
      <c r="G150" s="33" t="inlineStr">
        <is>
          <t>Not Started</t>
        </is>
      </c>
      <c r="H150" s="20" t="inlineStr"/>
      <c r="I150" s="23" t="inlineStr">
        <is>
          <t>TBD</t>
        </is>
      </c>
      <c r="J150" s="23" t="inlineStr">
        <is>
          <t>OPG-019,OPG-133</t>
        </is>
      </c>
    </row>
    <row r="151" ht="40" customHeight="1">
      <c r="A151" s="24" t="inlineStr">
        <is>
          <t>OPG-150</t>
        </is>
      </c>
      <c r="B151" s="25" t="n">
        <v>18</v>
      </c>
      <c r="C151" s="26" t="inlineStr">
        <is>
          <t>Automated fix pull-request creation</t>
        </is>
      </c>
      <c r="D151" s="27" t="inlineStr">
        <is>
          <t>Outputs &amp; Integrations Extended</t>
        </is>
      </c>
      <c r="E151" s="27" t="inlineStr">
        <is>
          <t>When safe upgrade identified and token configured, open dependency-update PR modifying manifest and lock file</t>
        </is>
      </c>
      <c r="F151" s="32" t="inlineStr">
        <is>
          <t>P1</t>
        </is>
      </c>
      <c r="G151" s="33" t="inlineStr">
        <is>
          <t>Not Started</t>
        </is>
      </c>
      <c r="H151" s="27" t="inlineStr"/>
      <c r="I151" s="30" t="inlineStr">
        <is>
          <t>TBD</t>
        </is>
      </c>
      <c r="J151" s="30" t="inlineStr">
        <is>
          <t>OPG-038,OPG-073</t>
        </is>
      </c>
    </row>
    <row r="152" ht="40" customHeight="1">
      <c r="A152" s="17" t="inlineStr">
        <is>
          <t>OPG-151</t>
        </is>
      </c>
      <c r="B152" s="18" t="n">
        <v>18</v>
      </c>
      <c r="C152" s="19" t="inlineStr">
        <is>
          <t>Container image and OS-package scanning</t>
        </is>
      </c>
      <c r="D152" s="20" t="inlineStr">
        <is>
          <t>Outputs &amp; Integrations Extended</t>
        </is>
      </c>
      <c r="E152" s="20" t="inlineStr">
        <is>
          <t>Accept container image reference or OCI tarball; extract OS packages; scan through same policy engine</t>
        </is>
      </c>
      <c r="F152" s="31" t="inlineStr">
        <is>
          <t>P1</t>
        </is>
      </c>
      <c r="G152" s="33" t="inlineStr">
        <is>
          <t>Not Started</t>
        </is>
      </c>
      <c r="H152" s="20" t="inlineStr"/>
      <c r="I152" s="23" t="inlineStr">
        <is>
          <t>TBD</t>
        </is>
      </c>
      <c r="J152" s="23" t="inlineStr">
        <is>
          <t>OPG-023</t>
        </is>
      </c>
    </row>
    <row r="153" ht="40" customHeight="1">
      <c r="A153" s="24" t="inlineStr">
        <is>
          <t>OPG-152</t>
        </is>
      </c>
      <c r="B153" s="25" t="n">
        <v>18</v>
      </c>
      <c r="C153" s="26" t="inlineStr">
        <is>
          <t>Package proxy / registry firewall mode</t>
        </is>
      </c>
      <c r="D153" s="27" t="inlineStr">
        <is>
          <t>Outputs &amp; Integrations Extended</t>
        </is>
      </c>
      <c r="E153" s="27" t="inlineStr">
        <is>
          <t>Operate as HTTPS proxy in front of public registry; evaluate policy before package enters build environment</t>
        </is>
      </c>
      <c r="F153" s="32" t="inlineStr">
        <is>
          <t>P1</t>
        </is>
      </c>
      <c r="G153" s="33" t="inlineStr">
        <is>
          <t>Not Started</t>
        </is>
      </c>
      <c r="H153" s="27" t="inlineStr"/>
      <c r="I153" s="30" t="inlineStr">
        <is>
          <t>TBD</t>
        </is>
      </c>
      <c r="J153" s="30" t="inlineStr">
        <is>
          <t>OPG-075</t>
        </is>
      </c>
    </row>
    <row r="154" ht="40" customHeight="1">
      <c r="A154" s="17" t="inlineStr">
        <is>
          <t>OPG-153</t>
        </is>
      </c>
      <c r="B154" s="18" t="n">
        <v>19</v>
      </c>
      <c r="C154" s="19" t="inlineStr">
        <is>
          <t>Compliance evidence packaging</t>
        </is>
      </c>
      <c r="D154" s="20" t="inlineStr">
        <is>
          <t>Quality &amp; Compliance Extended</t>
        </is>
      </c>
      <c r="E154" s="20" t="inlineStr">
        <is>
          <t>SOC 2 Type II (CC7.2/CC8.1), FedRAMP, PCI-DSS SCA evidence bundles; JSON + Markdown; includes policy digest and remediation</t>
        </is>
      </c>
      <c r="F154" s="31" t="inlineStr">
        <is>
          <t>P1</t>
        </is>
      </c>
      <c r="G154" s="33" t="inlineStr">
        <is>
          <t>Not Started</t>
        </is>
      </c>
      <c r="H154" s="20" t="inlineStr"/>
      <c r="I154" s="23" t="inlineStr">
        <is>
          <t>TBD</t>
        </is>
      </c>
      <c r="J154" s="23" t="inlineStr">
        <is>
          <t>OPG-081,OPG-088</t>
        </is>
      </c>
    </row>
    <row r="155" ht="40" customHeight="1">
      <c r="A155" s="24" t="inlineStr">
        <is>
          <t>OPG-154</t>
        </is>
      </c>
      <c r="B155" s="25" t="n">
        <v>20</v>
      </c>
      <c r="C155" s="26" t="inlineStr">
        <is>
          <t>LLM-assisted novel malicious pattern recognition [Research]</t>
        </is>
      </c>
      <c r="D155" s="27" t="inlineStr">
        <is>
          <t>Research Extended</t>
        </is>
      </c>
      <c r="E155" s="27" t="inlineStr">
        <is>
          <t>Language model explains suspicious behaviors not covered by rules; calibrated against confirmed-malicious corpus; no auto-enforcement</t>
        </is>
      </c>
      <c r="F155" s="35" t="inlineStr">
        <is>
          <t>P2</t>
        </is>
      </c>
      <c r="G155" s="33" t="inlineStr">
        <is>
          <t>Not Started</t>
        </is>
      </c>
      <c r="H155" s="27" t="inlineStr"/>
      <c r="I155" s="30" t="inlineStr">
        <is>
          <t>TBD</t>
        </is>
      </c>
      <c r="J155" s="30" t="inlineStr">
        <is>
          <t>OPG-053,OPG-144</t>
        </is>
      </c>
    </row>
    <row r="156" ht="40" customHeight="1">
      <c r="A156" s="17" t="inlineStr">
        <is>
          <t>OPG-155</t>
        </is>
      </c>
      <c r="B156" s="18" t="n">
        <v>20</v>
      </c>
      <c r="C156" s="19" t="inlineStr">
        <is>
          <t>Runtime dependency inventory via instrumentation [Research]</t>
        </is>
      </c>
      <c r="D156" s="20" t="inlineStr">
        <is>
          <t>Research Extended</t>
        </is>
      </c>
      <c r="E156" s="20" t="inlineStr">
        <is>
          <t>Discover packages loaded in running Python/Node.js via import hooks or eBPF; compare to manifest; surface phantom deps</t>
        </is>
      </c>
      <c r="F156" s="34" t="inlineStr">
        <is>
          <t>P2</t>
        </is>
      </c>
      <c r="G156" s="33" t="inlineStr">
        <is>
          <t>Not Started</t>
        </is>
      </c>
      <c r="H156" s="20" t="inlineStr"/>
      <c r="I156" s="23" t="inlineStr">
        <is>
          <t>TBD</t>
        </is>
      </c>
      <c r="J156" s="23" t="inlineStr">
        <is>
          <t>OPG-145</t>
        </is>
      </c>
    </row>
    <row r="157" ht="40" customHeight="1">
      <c r="A157" s="24" t="inlineStr">
        <is>
          <t>OPG-156</t>
        </is>
      </c>
      <c r="B157" s="25" t="n">
        <v>20</v>
      </c>
      <c r="C157" s="26" t="inlineStr">
        <is>
          <t>Infrastructure-as-Code deployment context enrichment [Research]</t>
        </is>
      </c>
      <c r="D157" s="27" t="inlineStr">
        <is>
          <t>Research Extended</t>
        </is>
      </c>
      <c r="E157" s="27" t="inlineStr">
        <is>
          <t>Parse Terraform, Helm, Kubernetes to determine deployment exposure; pass context to blast-radius model</t>
        </is>
      </c>
      <c r="F157" s="32" t="inlineStr">
        <is>
          <t>P1</t>
        </is>
      </c>
      <c r="G157" s="33" t="inlineStr">
        <is>
          <t>Not Started</t>
        </is>
      </c>
      <c r="H157" s="27" t="inlineStr"/>
      <c r="I157" s="30" t="inlineStr">
        <is>
          <t>TBD</t>
        </is>
      </c>
      <c r="J157" s="30" t="inlineStr">
        <is>
          <t>OPG-126,OPG-148</t>
        </is>
      </c>
    </row>
    <row r="158" ht="40" customHeight="1">
      <c r="A158" s="17" t="inlineStr">
        <is>
          <t>OPG-157</t>
        </is>
      </c>
      <c r="B158" s="18" t="n">
        <v>20</v>
      </c>
      <c r="C158" s="19" t="inlineStr">
        <is>
          <t>Hierarchical team-scoped catalog with delegated administration</t>
        </is>
      </c>
      <c r="D158" s="20" t="inlineStr">
        <is>
          <t>Research Extended</t>
        </is>
      </c>
      <c r="E158" s="20" t="inlineStr">
        <is>
          <t>BU teams approve within enterprise envelope; application teams create scoped exceptions; revocation cascades</t>
        </is>
      </c>
      <c r="F158" s="31" t="inlineStr">
        <is>
          <t>P1</t>
        </is>
      </c>
      <c r="G158" s="33" t="inlineStr">
        <is>
          <t>Not Started</t>
        </is>
      </c>
      <c r="H158" s="20" t="inlineStr"/>
      <c r="I158" s="23" t="inlineStr">
        <is>
          <t>TBD</t>
        </is>
      </c>
      <c r="J158" s="23" t="inlineStr">
        <is>
          <t>OPG-078,OPG-084</t>
        </is>
      </c>
    </row>
  </sheetData>
  <autoFilter ref="A1:J158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  <col width="14" customWidth="1" min="9" max="9"/>
  </cols>
  <sheetData>
    <row r="1" ht="28" customHeight="1">
      <c r="A1" s="36" t="inlineStr">
        <is>
          <t>Workstream Summary</t>
        </is>
      </c>
    </row>
    <row r="2" ht="20" customHeight="1">
      <c r="A2" s="37" t="inlineStr">
        <is>
          <t>WS #</t>
        </is>
      </c>
      <c r="B2" s="37" t="inlineStr">
        <is>
          <t>Name</t>
        </is>
      </c>
      <c r="C2" s="37" t="inlineStr">
        <is>
          <t>Total</t>
        </is>
      </c>
      <c r="D2" s="37" t="inlineStr">
        <is>
          <t>P0</t>
        </is>
      </c>
      <c r="E2" s="37" t="inlineStr">
        <is>
          <t>P1</t>
        </is>
      </c>
      <c r="F2" s="37" t="inlineStr">
        <is>
          <t>P2</t>
        </is>
      </c>
      <c r="G2" s="37" t="inlineStr">
        <is>
          <t>Done</t>
        </is>
      </c>
      <c r="H2" s="37" t="inlineStr">
        <is>
          <t>In Progress</t>
        </is>
      </c>
      <c r="I2" s="37" t="inlineStr">
        <is>
          <t>Not Started</t>
        </is>
      </c>
    </row>
    <row r="3" ht="18" customHeight="1">
      <c r="A3" s="38" t="n">
        <v>1</v>
      </c>
      <c r="B3" s="9" t="inlineStr">
        <is>
          <t>Architecture &amp; Foundation</t>
        </is>
      </c>
      <c r="C3" s="10">
        <f>COUNTIF(Requirements!B:B,"1")</f>
        <v/>
      </c>
      <c r="D3" s="10">
        <f>COUNTIFS(Requirements!B:B,"1",Requirements!F:F,"P0")</f>
        <v/>
      </c>
      <c r="E3" s="10">
        <f>COUNTIFS(Requirements!B:B,"1",Requirements!F:F,"P1")</f>
        <v/>
      </c>
      <c r="F3" s="10">
        <f>COUNTIFS(Requirements!B:B,"1",Requirements!F:F,"P2")</f>
        <v/>
      </c>
      <c r="G3" s="10">
        <f>COUNTIFS(Requirements!B:B,"1",Requirements!G:G,"Done")</f>
        <v/>
      </c>
      <c r="H3" s="10">
        <f>COUNTIFS(Requirements!B:B,"1",Requirements!G:G,"In Progress")</f>
        <v/>
      </c>
      <c r="I3" s="10">
        <f>COUNTIFS(Requirements!B:B,"1",Requirements!G:G,"Not Started")</f>
        <v/>
      </c>
    </row>
    <row r="4" ht="18" customHeight="1">
      <c r="A4" s="7" t="n">
        <v>2</v>
      </c>
      <c r="B4" s="12" t="inlineStr">
        <is>
          <t>Identity &amp; Dependency Ingestion</t>
        </is>
      </c>
      <c r="C4" s="8">
        <f>COUNTIF(Requirements!B:B,"2")</f>
        <v/>
      </c>
      <c r="D4" s="8">
        <f>COUNTIFS(Requirements!B:B,"2",Requirements!F:F,"P0")</f>
        <v/>
      </c>
      <c r="E4" s="8">
        <f>COUNTIFS(Requirements!B:B,"2",Requirements!F:F,"P1")</f>
        <v/>
      </c>
      <c r="F4" s="8">
        <f>COUNTIFS(Requirements!B:B,"2",Requirements!F:F,"P2")</f>
        <v/>
      </c>
      <c r="G4" s="8">
        <f>COUNTIFS(Requirements!B:B,"2",Requirements!G:G,"Done")</f>
        <v/>
      </c>
      <c r="H4" s="8">
        <f>COUNTIFS(Requirements!B:B,"2",Requirements!G:G,"In Progress")</f>
        <v/>
      </c>
      <c r="I4" s="8">
        <f>COUNTIFS(Requirements!B:B,"2",Requirements!G:G,"Not Started")</f>
        <v/>
      </c>
    </row>
    <row r="5" ht="18" customHeight="1">
      <c r="A5" s="38" t="n">
        <v>3</v>
      </c>
      <c r="B5" s="9" t="inlineStr">
        <is>
          <t>Evidence Providers &amp; Data Quality</t>
        </is>
      </c>
      <c r="C5" s="10">
        <f>COUNTIF(Requirements!B:B,"3")</f>
        <v/>
      </c>
      <c r="D5" s="10">
        <f>COUNTIFS(Requirements!B:B,"3",Requirements!F:F,"P0")</f>
        <v/>
      </c>
      <c r="E5" s="10">
        <f>COUNTIFS(Requirements!B:B,"3",Requirements!F:F,"P1")</f>
        <v/>
      </c>
      <c r="F5" s="10">
        <f>COUNTIFS(Requirements!B:B,"3",Requirements!F:F,"P2")</f>
        <v/>
      </c>
      <c r="G5" s="10">
        <f>COUNTIFS(Requirements!B:B,"3",Requirements!G:G,"Done")</f>
        <v/>
      </c>
      <c r="H5" s="10">
        <f>COUNTIFS(Requirements!B:B,"3",Requirements!G:G,"In Progress")</f>
        <v/>
      </c>
      <c r="I5" s="10">
        <f>COUNTIFS(Requirements!B:B,"3",Requirements!G:G,"Not Started")</f>
        <v/>
      </c>
    </row>
    <row r="6" ht="18" customHeight="1">
      <c r="A6" s="7" t="n">
        <v>4</v>
      </c>
      <c r="B6" s="12" t="inlineStr">
        <is>
          <t>Vulnerability &amp; Exploitability</t>
        </is>
      </c>
      <c r="C6" s="8">
        <f>COUNTIF(Requirements!B:B,"4")</f>
        <v/>
      </c>
      <c r="D6" s="8">
        <f>COUNTIFS(Requirements!B:B,"4",Requirements!F:F,"P0")</f>
        <v/>
      </c>
      <c r="E6" s="8">
        <f>COUNTIFS(Requirements!B:B,"4",Requirements!F:F,"P1")</f>
        <v/>
      </c>
      <c r="F6" s="8">
        <f>COUNTIFS(Requirements!B:B,"4",Requirements!F:F,"P2")</f>
        <v/>
      </c>
      <c r="G6" s="8">
        <f>COUNTIFS(Requirements!B:B,"4",Requirements!G:G,"Done")</f>
        <v/>
      </c>
      <c r="H6" s="8">
        <f>COUNTIFS(Requirements!B:B,"4",Requirements!G:G,"In Progress")</f>
        <v/>
      </c>
      <c r="I6" s="8">
        <f>COUNTIFS(Requirements!B:B,"4",Requirements!G:G,"Not Started")</f>
        <v/>
      </c>
    </row>
    <row r="7" ht="18" customHeight="1">
      <c r="A7" s="38" t="n">
        <v>5</v>
      </c>
      <c r="B7" s="9" t="inlineStr">
        <is>
          <t>Supply Chain &amp; Malicious Package Defense</t>
        </is>
      </c>
      <c r="C7" s="10">
        <f>COUNTIF(Requirements!B:B,"5")</f>
        <v/>
      </c>
      <c r="D7" s="10">
        <f>COUNTIFS(Requirements!B:B,"5",Requirements!F:F,"P0")</f>
        <v/>
      </c>
      <c r="E7" s="10">
        <f>COUNTIFS(Requirements!B:B,"5",Requirements!F:F,"P1")</f>
        <v/>
      </c>
      <c r="F7" s="10">
        <f>COUNTIFS(Requirements!B:B,"5",Requirements!F:F,"P2")</f>
        <v/>
      </c>
      <c r="G7" s="10">
        <f>COUNTIFS(Requirements!B:B,"5",Requirements!G:G,"Done")</f>
        <v/>
      </c>
      <c r="H7" s="10">
        <f>COUNTIFS(Requirements!B:B,"5",Requirements!G:G,"In Progress")</f>
        <v/>
      </c>
      <c r="I7" s="10">
        <f>COUNTIFS(Requirements!B:B,"5",Requirements!G:G,"Not Started")</f>
        <v/>
      </c>
    </row>
    <row r="8" ht="18" customHeight="1">
      <c r="A8" s="7" t="n">
        <v>6</v>
      </c>
      <c r="B8" s="12" t="inlineStr">
        <is>
          <t>Policy Engine &amp; Explainability</t>
        </is>
      </c>
      <c r="C8" s="8">
        <f>COUNTIF(Requirements!B:B,"6")</f>
        <v/>
      </c>
      <c r="D8" s="8">
        <f>COUNTIFS(Requirements!B:B,"6",Requirements!F:F,"P0")</f>
        <v/>
      </c>
      <c r="E8" s="8">
        <f>COUNTIFS(Requirements!B:B,"6",Requirements!F:F,"P1")</f>
        <v/>
      </c>
      <c r="F8" s="8">
        <f>COUNTIFS(Requirements!B:B,"6",Requirements!F:F,"P2")</f>
        <v/>
      </c>
      <c r="G8" s="8">
        <f>COUNTIFS(Requirements!B:B,"6",Requirements!G:G,"Done")</f>
        <v/>
      </c>
      <c r="H8" s="8">
        <f>COUNTIFS(Requirements!B:B,"6",Requirements!G:G,"In Progress")</f>
        <v/>
      </c>
      <c r="I8" s="8">
        <f>COUNTIFS(Requirements!B:B,"6",Requirements!G:G,"Not Started")</f>
        <v/>
      </c>
    </row>
    <row r="9" ht="18" customHeight="1">
      <c r="A9" s="38" t="n">
        <v>7</v>
      </c>
      <c r="B9" s="9" t="inlineStr">
        <is>
          <t>Outputs APIs &amp; Developer Integrations</t>
        </is>
      </c>
      <c r="C9" s="10">
        <f>COUNTIF(Requirements!B:B,"7")</f>
        <v/>
      </c>
      <c r="D9" s="10">
        <f>COUNTIFS(Requirements!B:B,"7",Requirements!F:F,"P0")</f>
        <v/>
      </c>
      <c r="E9" s="10">
        <f>COUNTIFS(Requirements!B:B,"7",Requirements!F:F,"P1")</f>
        <v/>
      </c>
      <c r="F9" s="10">
        <f>COUNTIFS(Requirements!B:B,"7",Requirements!F:F,"P2")</f>
        <v/>
      </c>
      <c r="G9" s="10">
        <f>COUNTIFS(Requirements!B:B,"7",Requirements!G:G,"Done")</f>
        <v/>
      </c>
      <c r="H9" s="10">
        <f>COUNTIFS(Requirements!B:B,"7",Requirements!G:G,"In Progress")</f>
        <v/>
      </c>
      <c r="I9" s="10">
        <f>COUNTIFS(Requirements!B:B,"7",Requirements!G:G,"Not Started")</f>
        <v/>
      </c>
    </row>
    <row r="10" ht="18" customHeight="1">
      <c r="A10" s="7" t="n">
        <v>8</v>
      </c>
      <c r="B10" s="12" t="inlineStr">
        <is>
          <t>Enterprise Governance &amp; Exceptions</t>
        </is>
      </c>
      <c r="C10" s="8">
        <f>COUNTIF(Requirements!B:B,"8")</f>
        <v/>
      </c>
      <c r="D10" s="8">
        <f>COUNTIFS(Requirements!B:B,"8",Requirements!F:F,"P0")</f>
        <v/>
      </c>
      <c r="E10" s="8">
        <f>COUNTIFS(Requirements!B:B,"8",Requirements!F:F,"P1")</f>
        <v/>
      </c>
      <c r="F10" s="8">
        <f>COUNTIFS(Requirements!B:B,"8",Requirements!F:F,"P2")</f>
        <v/>
      </c>
      <c r="G10" s="8">
        <f>COUNTIFS(Requirements!B:B,"8",Requirements!G:G,"Done")</f>
        <v/>
      </c>
      <c r="H10" s="8">
        <f>COUNTIFS(Requirements!B:B,"8",Requirements!G:G,"In Progress")</f>
        <v/>
      </c>
      <c r="I10" s="8">
        <f>COUNTIFS(Requirements!B:B,"8",Requirements!G:G,"Not Started")</f>
        <v/>
      </c>
    </row>
    <row r="11" ht="18" customHeight="1">
      <c r="A11" s="38" t="n">
        <v>9</v>
      </c>
      <c r="B11" s="9" t="inlineStr">
        <is>
          <t>Security Privacy &amp; Reliability</t>
        </is>
      </c>
      <c r="C11" s="10">
        <f>COUNTIF(Requirements!B:B,"9")</f>
        <v/>
      </c>
      <c r="D11" s="10">
        <f>COUNTIFS(Requirements!B:B,"9",Requirements!F:F,"P0")</f>
        <v/>
      </c>
      <c r="E11" s="10">
        <f>COUNTIFS(Requirements!B:B,"9",Requirements!F:F,"P1")</f>
        <v/>
      </c>
      <c r="F11" s="10">
        <f>COUNTIFS(Requirements!B:B,"9",Requirements!F:F,"P2")</f>
        <v/>
      </c>
      <c r="G11" s="10">
        <f>COUNTIFS(Requirements!B:B,"9",Requirements!G:G,"Done")</f>
        <v/>
      </c>
      <c r="H11" s="10">
        <f>COUNTIFS(Requirements!B:B,"9",Requirements!G:G,"In Progress")</f>
        <v/>
      </c>
      <c r="I11" s="10">
        <f>COUNTIFS(Requirements!B:B,"9",Requirements!G:G,"Not Started")</f>
        <v/>
      </c>
    </row>
    <row r="12" ht="18" customHeight="1">
      <c r="A12" s="7" t="n">
        <v>10</v>
      </c>
      <c r="B12" s="12" t="inlineStr">
        <is>
          <t>Quality Release &amp; Documentation</t>
        </is>
      </c>
      <c r="C12" s="8">
        <f>COUNTIF(Requirements!B:B,"10")</f>
        <v/>
      </c>
      <c r="D12" s="8">
        <f>COUNTIFS(Requirements!B:B,"10",Requirements!F:F,"P0")</f>
        <v/>
      </c>
      <c r="E12" s="8">
        <f>COUNTIFS(Requirements!B:B,"10",Requirements!F:F,"P1")</f>
        <v/>
      </c>
      <c r="F12" s="8">
        <f>COUNTIFS(Requirements!B:B,"10",Requirements!F:F,"P2")</f>
        <v/>
      </c>
      <c r="G12" s="8">
        <f>COUNTIFS(Requirements!B:B,"10",Requirements!G:G,"Done")</f>
        <v/>
      </c>
      <c r="H12" s="8">
        <f>COUNTIFS(Requirements!B:B,"10",Requirements!G:G,"In Progress")</f>
        <v/>
      </c>
      <c r="I12" s="8">
        <f>COUNTIFS(Requirements!B:B,"10",Requirements!G:G,"Not Started")</f>
        <v/>
      </c>
    </row>
    <row r="13" ht="18" customHeight="1">
      <c r="A13" s="38" t="n">
        <v>11</v>
      </c>
      <c r="B13" s="9" t="inlineStr">
        <is>
          <t>Adoption Validation &amp; Evidence</t>
        </is>
      </c>
      <c r="C13" s="10">
        <f>COUNTIF(Requirements!B:B,"11")</f>
        <v/>
      </c>
      <c r="D13" s="10">
        <f>COUNTIFS(Requirements!B:B,"11",Requirements!F:F,"P0")</f>
        <v/>
      </c>
      <c r="E13" s="10">
        <f>COUNTIFS(Requirements!B:B,"11",Requirements!F:F,"P1")</f>
        <v/>
      </c>
      <c r="F13" s="10">
        <f>COUNTIFS(Requirements!B:B,"11",Requirements!F:F,"P2")</f>
        <v/>
      </c>
      <c r="G13" s="10">
        <f>COUNTIFS(Requirements!B:B,"11",Requirements!G:G,"Done")</f>
        <v/>
      </c>
      <c r="H13" s="10">
        <f>COUNTIFS(Requirements!B:B,"11",Requirements!G:G,"In Progress")</f>
        <v/>
      </c>
      <c r="I13" s="10">
        <f>COUNTIFS(Requirements!B:B,"11",Requirements!G:G,"Not Started")</f>
        <v/>
      </c>
    </row>
    <row r="14" ht="18" customHeight="1">
      <c r="A14" s="7" t="n">
        <v>12</v>
      </c>
      <c r="B14" s="12" t="inlineStr">
        <is>
          <t>Differentiation Research &amp; IP Controls</t>
        </is>
      </c>
      <c r="C14" s="8">
        <f>COUNTIF(Requirements!B:B,"12")</f>
        <v/>
      </c>
      <c r="D14" s="8">
        <f>COUNTIFS(Requirements!B:B,"12",Requirements!F:F,"P0")</f>
        <v/>
      </c>
      <c r="E14" s="8">
        <f>COUNTIFS(Requirements!B:B,"12",Requirements!F:F,"P1")</f>
        <v/>
      </c>
      <c r="F14" s="8">
        <f>COUNTIFS(Requirements!B:B,"12",Requirements!F:F,"P2")</f>
        <v/>
      </c>
      <c r="G14" s="8">
        <f>COUNTIFS(Requirements!B:B,"12",Requirements!G:G,"Done")</f>
        <v/>
      </c>
      <c r="H14" s="8">
        <f>COUNTIFS(Requirements!B:B,"12",Requirements!G:G,"In Progress")</f>
        <v/>
      </c>
      <c r="I14" s="8">
        <f>COUNTIFS(Requirements!B:B,"12",Requirements!G:G,"Not Started")</f>
        <v/>
      </c>
    </row>
    <row r="15" ht="18" customHeight="1">
      <c r="A15" s="38" t="n">
        <v>13</v>
      </c>
      <c r="B15" s="9" t="inlineStr">
        <is>
          <t>License Compliance</t>
        </is>
      </c>
      <c r="C15" s="10">
        <f>COUNTIF(Requirements!B:B,"13")</f>
        <v/>
      </c>
      <c r="D15" s="10">
        <f>COUNTIFS(Requirements!B:B,"13",Requirements!F:F,"P0")</f>
        <v/>
      </c>
      <c r="E15" s="10">
        <f>COUNTIFS(Requirements!B:B,"13",Requirements!F:F,"P1")</f>
        <v/>
      </c>
      <c r="F15" s="10">
        <f>COUNTIFS(Requirements!B:B,"13",Requirements!F:F,"P2")</f>
        <v/>
      </c>
      <c r="G15" s="10">
        <f>COUNTIFS(Requirements!B:B,"13",Requirements!G:G,"Done")</f>
        <v/>
      </c>
      <c r="H15" s="10">
        <f>COUNTIFS(Requirements!B:B,"13",Requirements!G:G,"In Progress")</f>
        <v/>
      </c>
      <c r="I15" s="10">
        <f>COUNTIFS(Requirements!B:B,"13",Requirements!G:G,"Not Started")</f>
        <v/>
      </c>
    </row>
    <row r="16" ht="18" customHeight="1">
      <c r="A16" s="7" t="n">
        <v>14</v>
      </c>
      <c r="B16" s="12" t="inlineStr">
        <is>
          <t>Dependency Management Extended</t>
        </is>
      </c>
      <c r="C16" s="8">
        <f>COUNTIF(Requirements!B:B,"14")</f>
        <v/>
      </c>
      <c r="D16" s="8">
        <f>COUNTIFS(Requirements!B:B,"14",Requirements!F:F,"P0")</f>
        <v/>
      </c>
      <c r="E16" s="8">
        <f>COUNTIFS(Requirements!B:B,"14",Requirements!F:F,"P1")</f>
        <v/>
      </c>
      <c r="F16" s="8">
        <f>COUNTIFS(Requirements!B:B,"14",Requirements!F:F,"P2")</f>
        <v/>
      </c>
      <c r="G16" s="8">
        <f>COUNTIFS(Requirements!B:B,"14",Requirements!G:G,"Done")</f>
        <v/>
      </c>
      <c r="H16" s="8">
        <f>COUNTIFS(Requirements!B:B,"14",Requirements!G:G,"In Progress")</f>
        <v/>
      </c>
      <c r="I16" s="8">
        <f>COUNTIFS(Requirements!B:B,"14",Requirements!G:G,"Not Started")</f>
        <v/>
      </c>
    </row>
    <row r="17" ht="18" customHeight="1">
      <c r="A17" s="38" t="n">
        <v>15</v>
      </c>
      <c r="B17" s="9" t="inlineStr">
        <is>
          <t>Evidence Providers Extended</t>
        </is>
      </c>
      <c r="C17" s="10">
        <f>COUNTIF(Requirements!B:B,"15")</f>
        <v/>
      </c>
      <c r="D17" s="10">
        <f>COUNTIFS(Requirements!B:B,"15",Requirements!F:F,"P0")</f>
        <v/>
      </c>
      <c r="E17" s="10">
        <f>COUNTIFS(Requirements!B:B,"15",Requirements!F:F,"P1")</f>
        <v/>
      </c>
      <c r="F17" s="10">
        <f>COUNTIFS(Requirements!B:B,"15",Requirements!F:F,"P2")</f>
        <v/>
      </c>
      <c r="G17" s="10">
        <f>COUNTIFS(Requirements!B:B,"15",Requirements!G:G,"Done")</f>
        <v/>
      </c>
      <c r="H17" s="10">
        <f>COUNTIFS(Requirements!B:B,"15",Requirements!G:G,"In Progress")</f>
        <v/>
      </c>
      <c r="I17" s="10">
        <f>COUNTIFS(Requirements!B:B,"15",Requirements!G:G,"Not Started")</f>
        <v/>
      </c>
    </row>
    <row r="18" ht="18" customHeight="1">
      <c r="A18" s="7" t="n">
        <v>16</v>
      </c>
      <c r="B18" s="12" t="inlineStr">
        <is>
          <t>Supply Chain Defense Extended</t>
        </is>
      </c>
      <c r="C18" s="8">
        <f>COUNTIF(Requirements!B:B,"16")</f>
        <v/>
      </c>
      <c r="D18" s="8">
        <f>COUNTIFS(Requirements!B:B,"16",Requirements!F:F,"P0")</f>
        <v/>
      </c>
      <c r="E18" s="8">
        <f>COUNTIFS(Requirements!B:B,"16",Requirements!F:F,"P1")</f>
        <v/>
      </c>
      <c r="F18" s="8">
        <f>COUNTIFS(Requirements!B:B,"16",Requirements!F:F,"P2")</f>
        <v/>
      </c>
      <c r="G18" s="8">
        <f>COUNTIFS(Requirements!B:B,"16",Requirements!G:G,"Done")</f>
        <v/>
      </c>
      <c r="H18" s="8">
        <f>COUNTIFS(Requirements!B:B,"16",Requirements!G:G,"In Progress")</f>
        <v/>
      </c>
      <c r="I18" s="8">
        <f>COUNTIFS(Requirements!B:B,"16",Requirements!G:G,"Not Started")</f>
        <v/>
      </c>
    </row>
    <row r="19" ht="18" customHeight="1">
      <c r="A19" s="38" t="n">
        <v>17</v>
      </c>
      <c r="B19" s="9" t="inlineStr">
        <is>
          <t>Policy Engine Extended</t>
        </is>
      </c>
      <c r="C19" s="10">
        <f>COUNTIF(Requirements!B:B,"17")</f>
        <v/>
      </c>
      <c r="D19" s="10">
        <f>COUNTIFS(Requirements!B:B,"17",Requirements!F:F,"P0")</f>
        <v/>
      </c>
      <c r="E19" s="10">
        <f>COUNTIFS(Requirements!B:B,"17",Requirements!F:F,"P1")</f>
        <v/>
      </c>
      <c r="F19" s="10">
        <f>COUNTIFS(Requirements!B:B,"17",Requirements!F:F,"P2")</f>
        <v/>
      </c>
      <c r="G19" s="10">
        <f>COUNTIFS(Requirements!B:B,"17",Requirements!G:G,"Done")</f>
        <v/>
      </c>
      <c r="H19" s="10">
        <f>COUNTIFS(Requirements!B:B,"17",Requirements!G:G,"In Progress")</f>
        <v/>
      </c>
      <c r="I19" s="10">
        <f>COUNTIFS(Requirements!B:B,"17",Requirements!G:G,"Not Started")</f>
        <v/>
      </c>
    </row>
    <row r="20" ht="18" customHeight="1">
      <c r="A20" s="7" t="n">
        <v>18</v>
      </c>
      <c r="B20" s="12" t="inlineStr">
        <is>
          <t>Outputs &amp; Integrations Extended</t>
        </is>
      </c>
      <c r="C20" s="8">
        <f>COUNTIF(Requirements!B:B,"18")</f>
        <v/>
      </c>
      <c r="D20" s="8">
        <f>COUNTIFS(Requirements!B:B,"18",Requirements!F:F,"P0")</f>
        <v/>
      </c>
      <c r="E20" s="8">
        <f>COUNTIFS(Requirements!B:B,"18",Requirements!F:F,"P1")</f>
        <v/>
      </c>
      <c r="F20" s="8">
        <f>COUNTIFS(Requirements!B:B,"18",Requirements!F:F,"P2")</f>
        <v/>
      </c>
      <c r="G20" s="8">
        <f>COUNTIFS(Requirements!B:B,"18",Requirements!G:G,"Done")</f>
        <v/>
      </c>
      <c r="H20" s="8">
        <f>COUNTIFS(Requirements!B:B,"18",Requirements!G:G,"In Progress")</f>
        <v/>
      </c>
      <c r="I20" s="8">
        <f>COUNTIFS(Requirements!B:B,"18",Requirements!G:G,"Not Started")</f>
        <v/>
      </c>
    </row>
    <row r="21" ht="18" customHeight="1">
      <c r="A21" s="38" t="n">
        <v>19</v>
      </c>
      <c r="B21" s="9" t="inlineStr">
        <is>
          <t>Quality &amp; Compliance Extended</t>
        </is>
      </c>
      <c r="C21" s="10">
        <f>COUNTIF(Requirements!B:B,"19")</f>
        <v/>
      </c>
      <c r="D21" s="10">
        <f>COUNTIFS(Requirements!B:B,"19",Requirements!F:F,"P0")</f>
        <v/>
      </c>
      <c r="E21" s="10">
        <f>COUNTIFS(Requirements!B:B,"19",Requirements!F:F,"P1")</f>
        <v/>
      </c>
      <c r="F21" s="10">
        <f>COUNTIFS(Requirements!B:B,"19",Requirements!F:F,"P2")</f>
        <v/>
      </c>
      <c r="G21" s="10">
        <f>COUNTIFS(Requirements!B:B,"19",Requirements!G:G,"Done")</f>
        <v/>
      </c>
      <c r="H21" s="10">
        <f>COUNTIFS(Requirements!B:B,"19",Requirements!G:G,"In Progress")</f>
        <v/>
      </c>
      <c r="I21" s="10">
        <f>COUNTIFS(Requirements!B:B,"19",Requirements!G:G,"Not Started")</f>
        <v/>
      </c>
    </row>
    <row r="22" ht="18" customHeight="1">
      <c r="A22" s="7" t="n">
        <v>20</v>
      </c>
      <c r="B22" s="12" t="inlineStr">
        <is>
          <t>Research Extended</t>
        </is>
      </c>
      <c r="C22" s="8">
        <f>COUNTIF(Requirements!B:B,"20")</f>
        <v/>
      </c>
      <c r="D22" s="8">
        <f>COUNTIFS(Requirements!B:B,"20",Requirements!F:F,"P0")</f>
        <v/>
      </c>
      <c r="E22" s="8">
        <f>COUNTIFS(Requirements!B:B,"20",Requirements!F:F,"P1")</f>
        <v/>
      </c>
      <c r="F22" s="8">
        <f>COUNTIFS(Requirements!B:B,"20",Requirements!F:F,"P2")</f>
        <v/>
      </c>
      <c r="G22" s="8">
        <f>COUNTIFS(Requirements!B:B,"20",Requirements!G:G,"Done")</f>
        <v/>
      </c>
      <c r="H22" s="8">
        <f>COUNTIFS(Requirements!B:B,"20",Requirements!G:G,"In Progress")</f>
        <v/>
      </c>
      <c r="I22" s="8">
        <f>COUNTIFS(Requirements!B:B,"20",Requirements!G:G,"Not Started")</f>
        <v/>
      </c>
    </row>
    <row r="23" ht="20" customHeight="1">
      <c r="A23" s="39" t="inlineStr">
        <is>
          <t>TOTAL</t>
        </is>
      </c>
      <c r="C23" s="39">
        <f>SUM(C3:C22)</f>
        <v/>
      </c>
      <c r="D23" s="39">
        <f>SUM(D3:D22)</f>
        <v/>
      </c>
      <c r="E23" s="39">
        <f>SUM(E3:E22)</f>
        <v/>
      </c>
      <c r="F23" s="39">
        <f>SUM(F3:F22)</f>
        <v/>
      </c>
      <c r="G23" s="39">
        <f>SUM(G3:G22)</f>
        <v/>
      </c>
      <c r="H23" s="39">
        <f>SUM(H3:H22)</f>
        <v/>
      </c>
      <c r="I23" s="39">
        <f>SUM(I3:I22)</f>
        <v/>
      </c>
    </row>
  </sheetData>
  <mergeCells count="2">
    <mergeCell ref="A1:I1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38" customWidth="1" min="4" max="4"/>
    <col width="45" customWidth="1" min="5" max="5"/>
  </cols>
  <sheetData>
    <row r="1" ht="28" customHeight="1">
      <c r="A1" s="36" t="inlineStr">
        <is>
          <t>OSSPolicyGuard — Delivery Roadmap</t>
        </is>
      </c>
    </row>
    <row r="2" ht="20" customHeight="1">
      <c r="A2" s="16" t="inlineStr">
        <is>
          <t>Phase</t>
        </is>
      </c>
      <c r="B2" s="16" t="inlineStr">
        <is>
          <t>Timeframe</t>
        </is>
      </c>
      <c r="C2" s="16" t="inlineStr">
        <is>
          <t>Focus</t>
        </is>
      </c>
      <c r="D2" s="16" t="inlineStr">
        <is>
          <t>Key Requirements</t>
        </is>
      </c>
      <c r="E2" s="16" t="inlineStr">
        <is>
          <t>Success Criteria</t>
        </is>
      </c>
    </row>
    <row r="3" ht="40" customHeight="1">
      <c r="A3" s="40" t="inlineStr">
        <is>
          <t>Phase 1 — Foundation</t>
        </is>
      </c>
      <c r="B3" s="41" t="inlineStr">
        <is>
          <t>Current</t>
        </is>
      </c>
      <c r="C3" s="42" t="inlineStr">
        <is>
          <t>Core scanning engine and CLI</t>
        </is>
      </c>
      <c r="D3" s="42" t="inlineStr">
        <is>
          <t>OPG-001–011, OPG-023–032, OPG-056–072</t>
        </is>
      </c>
      <c r="E3" s="42" t="inlineStr">
        <is>
          <t>All P0 foundation requirements done; 200+ tests</t>
        </is>
      </c>
    </row>
    <row r="4" ht="40" customHeight="1">
      <c r="A4" s="43" t="inlineStr">
        <is>
          <t>Phase 2 — Hardening</t>
        </is>
      </c>
      <c r="B4" s="41" t="inlineStr">
        <is>
          <t>Q4 2025</t>
        </is>
      </c>
      <c r="C4" s="42" t="inlineStr">
        <is>
          <t>Security, compliance, quality</t>
        </is>
      </c>
      <c r="D4" s="42" t="inlineStr">
        <is>
          <t>OPG-034–053, OPG-089–107</t>
        </is>
      </c>
      <c r="E4" s="42" t="inlineStr">
        <is>
          <t>Zero untrusted-input vulnerabilities; SARIF in GitHub Code Scanning</t>
        </is>
      </c>
    </row>
    <row r="5" ht="40" customHeight="1">
      <c r="A5" s="44" t="inlineStr">
        <is>
          <t>Phase 3 — Enterprise</t>
        </is>
      </c>
      <c r="B5" s="41" t="inlineStr">
        <is>
          <t>Q1 2026</t>
        </is>
      </c>
      <c r="C5" s="42" t="inlineStr">
        <is>
          <t>Governance and integrations</t>
        </is>
      </c>
      <c r="D5" s="42" t="inlineStr">
        <is>
          <t>OPG-073–088, OPG-133–153</t>
        </is>
      </c>
      <c r="E5" s="42" t="inlineStr">
        <is>
          <t>License compliance; SBOM output; exception workflow; audit log</t>
        </is>
      </c>
    </row>
    <row r="6" ht="40" customHeight="1">
      <c r="A6" s="45" t="inlineStr">
        <is>
          <t>Phase 4 — Scale</t>
        </is>
      </c>
      <c r="B6" s="41" t="inlineStr">
        <is>
          <t>Q2 2026</t>
        </is>
      </c>
      <c r="C6" s="42" t="inlineStr">
        <is>
          <t>Adoption and pilots</t>
        </is>
      </c>
      <c r="D6" s="42" t="inlineStr">
        <is>
          <t>OPG-111–121</t>
        </is>
      </c>
      <c r="E6" s="42" t="inlineStr">
        <is>
          <t>5 independent pilots; benchmark published</t>
        </is>
      </c>
    </row>
    <row r="7" ht="40" customHeight="1">
      <c r="A7" s="46" t="inlineStr">
        <is>
          <t>Phase 5 — Research</t>
        </is>
      </c>
      <c r="B7" s="41" t="inlineStr">
        <is>
          <t>Q3 2026</t>
        </is>
      </c>
      <c r="C7" s="42" t="inlineStr">
        <is>
          <t>Differentiation research</t>
        </is>
      </c>
      <c r="D7" s="42" t="inlineStr">
        <is>
          <t>OPG-122–132, OPG-154–157</t>
        </is>
      </c>
      <c r="E7" s="42" t="inlineStr">
        <is>
          <t>2+ research contributions submitted</t>
        </is>
      </c>
    </row>
    <row r="9" ht="18" customHeight="1">
      <c r="A9" s="47" t="inlineStr">
        <is>
          <t>Phases are indicative and subject to revision based on pilot feedback and resource availability.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2026-08-15T14:31:06Z</dcterms:created>
  <dcterms:modified xsi:type="dcterms:W3CDTF">2026-08-15T14:31:06Z</dcterms:modified>
</cp:coreProperties>
</file>