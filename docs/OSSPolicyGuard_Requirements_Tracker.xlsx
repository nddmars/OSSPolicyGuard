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Requirements" sheetId="2" state="visible" r:id="rId4"/>
    <sheet name="Workstream Summary" sheetId="3" state="visible" r:id="rId5"/>
    <sheet name="Roadmap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<sst xmlns="http://schemas.openxmlformats.org/spreadsheetml/2006/main" count="1189" uniqueCount="599">
  <si>
    <t xml:space="preserve">OSSPolicyGuard — Requirements Tracker</t>
  </si>
  <si>
    <t xml:space="preserve">Leadership: Surya Nalluri · Aluri</t>
  </si>
  <si>
    <t xml:space="preserve">As of August 2026</t>
  </si>
  <si>
    <t xml:space="preserve">STATUS SUMMARY</t>
  </si>
  <si>
    <t xml:space="preserve">PRIORITY BREAKDOWN</t>
  </si>
  <si>
    <t xml:space="preserve">Total Requirements</t>
  </si>
  <si>
    <t xml:space="preserve">P0 — Critical</t>
  </si>
  <si>
    <t xml:space="preserve">Completed (✅)</t>
  </si>
  <si>
    <t xml:space="preserve">P1 — High</t>
  </si>
  <si>
    <t xml:space="preserve">In Progress (🔄)</t>
  </si>
  <si>
    <t xml:space="preserve">P2 — Research</t>
  </si>
  <si>
    <t xml:space="preserve">Not Started (❌)</t>
  </si>
  <si>
    <t xml:space="preserve">% Complete</t>
  </si>
  <si>
    <t xml:space="preserve">Formulas reference the Requirements sheet. Refresh to update counts after adding rows.</t>
  </si>
  <si>
    <t xml:space="preserve">OPG ID</t>
  </si>
  <si>
    <t xml:space="preserve">Workstream</t>
  </si>
  <si>
    <t xml:space="preserve">Feature Name</t>
  </si>
  <si>
    <t xml:space="preserve">Priority</t>
  </si>
  <si>
    <t xml:space="preserve">Status</t>
  </si>
  <si>
    <t xml:space="preserve">Description / Acceptance Criteria</t>
  </si>
  <si>
    <t xml:space="preserve">Module / File</t>
  </si>
  <si>
    <t xml:space="preserve">Notes</t>
  </si>
  <si>
    <t xml:space="preserve">OPG-001</t>
  </si>
  <si>
    <t xml:space="preserve">WS01 System Architecture</t>
  </si>
  <si>
    <t xml:space="preserve">Single-module Python application</t>
  </si>
  <si>
    <t xml:space="preserve">P0</t>
  </si>
  <si>
    <t xml:space="preserve">✅ Done</t>
  </si>
  <si>
    <t xml:space="preserve">Single-module Python app (oss_scorer.py) with four main classes and provider layer; 1,514 lines</t>
  </si>
  <si>
    <t xml:space="preserve">oss_scorer.py</t>
  </si>
  <si>
    <t xml:space="preserve">Core module</t>
  </si>
  <si>
    <t xml:space="preserve">OPG-002</t>
  </si>
  <si>
    <t xml:space="preserve">Singleton configuration manager</t>
  </si>
  <si>
    <t xml:space="preserve">OSSConfig singleton — one instance per process; loads config.yaml at startup</t>
  </si>
  <si>
    <t xml:space="preserve">OPG-003</t>
  </si>
  <si>
    <t xml:space="preserve">Provider abstraction layer</t>
  </si>
  <si>
    <t xml:space="preserve">ProviderBase ABC with shared HTTP, caching, rate-limiting, and retry logic</t>
  </si>
  <si>
    <t xml:space="preserve">src/osspolicyguard/providers/__init__.py</t>
  </si>
  <si>
    <t xml:space="preserve">OPG-004</t>
  </si>
  <si>
    <t xml:space="preserve">Structured provider responses</t>
  </si>
  <si>
    <t xml:space="preserve">ProviderResponse dataclass with provider, status, fetched_at, data, error, source_url, confidence</t>
  </si>
  <si>
    <t xml:space="preserve">OPG-005</t>
  </si>
  <si>
    <t xml:space="preserve">Structured error model</t>
  </si>
  <si>
    <t xml:space="preserve">ProviderError captures provider name, ProviderStatus enum, message, details</t>
  </si>
  <si>
    <t xml:space="preserve">OPG-006</t>
  </si>
  <si>
    <t xml:space="preserve">Provider status enumeration</t>
  </si>
  <si>
    <t xml:space="preserve">ProviderStatus: SUCCESS, TIMEOUT, RATE_LIMIT, AUTH_ERROR, MALFORMED, UNAVAILABLE, UNKNOWN, STALE</t>
  </si>
  <si>
    <t xml:space="preserve">OPG-007</t>
  </si>
  <si>
    <t xml:space="preserve">TTL-based in-memory response cache</t>
  </si>
  <si>
    <t xml:space="preserve">SimpleCache per-provider; expires entries on read; configurable TTL</t>
  </si>
  <si>
    <t xml:space="preserve">OPG-008</t>
  </si>
  <si>
    <t xml:space="preserve">Exponential backoff retry</t>
  </si>
  <si>
    <t xml:space="preserve">ProviderBase._get() with configurable retries and backoff factor on transient HTTP errors</t>
  </si>
  <si>
    <t xml:space="preserve">OPG-009</t>
  </si>
  <si>
    <t xml:space="preserve">Jupyter Notebook integration helper</t>
  </si>
  <si>
    <t xml:space="preserve">P1</t>
  </si>
  <si>
    <t xml:space="preserve">init_oss_analysis() bootstraps all four main objects and displays Markdown header</t>
  </si>
  <si>
    <t xml:space="preserve">OPG-010</t>
  </si>
  <si>
    <t xml:space="preserve">WS02 Configuration Management</t>
  </si>
  <si>
    <t xml:space="preserve">Load config from config.yaml</t>
  </si>
  <si>
    <t xml:space="preserve">OSSConfig._load_config() via PyYAML; raises RuntimeError if file is missing</t>
  </si>
  <si>
    <t xml:space="preserve">OPG-011</t>
  </si>
  <si>
    <t xml:space="preserve">Sensible config defaults</t>
  </si>
  <si>
    <t xml:space="preserve">All config sections default-filled in _load_config when absent from YAML</t>
  </si>
  <si>
    <t xml:space="preserve">OPG-012</t>
  </si>
  <si>
    <t xml:space="preserve">GitHub token env var override</t>
  </si>
  <si>
    <t xml:space="preserve">GITHUB_TOKEN environment variable overrides config.yaml value with higher priority</t>
  </si>
  <si>
    <t xml:space="preserve">OPG-013</t>
  </si>
  <si>
    <t xml:space="preserve">NVD API key env var override</t>
  </si>
  <si>
    <t xml:space="preserve">NVD_API_KEY environment variable overrides config.yaml value with higher priority</t>
  </si>
  <si>
    <t xml:space="preserve">OPG-014</t>
  </si>
  <si>
    <t xml:space="preserve">Credential placeholder warning</t>
  </si>
  <si>
    <t xml:space="preserve">logger.warning emitted when token/key starts with &lt;&lt; placeholder value</t>
  </si>
  <si>
    <t xml:space="preserve">OPG-015</t>
  </si>
  <si>
    <t xml:space="preserve">Raise RuntimeError on missing config</t>
  </si>
  <si>
    <t xml:space="preserve">Prevents silent misconfiguration; clear error message with file path</t>
  </si>
  <si>
    <t xml:space="preserve">OPG-016</t>
  </si>
  <si>
    <t xml:space="preserve">Per-feature enabled flags</t>
  </si>
  <si>
    <t xml:space="preserve">OSV, malicious packages, geocoding, EPSS, scorecard each independently disableable via config</t>
  </si>
  <si>
    <t xml:space="preserve">OPG-017</t>
  </si>
  <si>
    <t xml:space="preserve">Per-registry enabled flag</t>
  </si>
  <si>
    <t xml:space="preserve">Each registry has enabled flag; Maven disabled by default (no public download API)</t>
  </si>
  <si>
    <t xml:space="preserve">OPG-018</t>
  </si>
  <si>
    <t xml:space="preserve">Configurable scoring weights</t>
  </si>
  <si>
    <t xml:space="preserve">scoring.weights: activity=30%, trust=20%, security=35%, community=15% in config.yaml</t>
  </si>
  <si>
    <t xml:space="preserve">OPG-019</t>
  </si>
  <si>
    <t xml:space="preserve">Configurable approval thresholds</t>
  </si>
  <si>
    <t xml:space="preserve">scoring.thresholds defaults (90/80/70/60) set in _load_config; no KeyError if section omitted</t>
  </si>
  <si>
    <t xml:space="preserve">Gap A fix</t>
  </si>
  <si>
    <t xml:space="preserve">OPG-020</t>
  </si>
  <si>
    <t xml:space="preserve">Configurable EPSS thresholds</t>
  </si>
  <si>
    <t xml:space="preserve">_calculate_security_score reads epss.high_threshold/med_threshold from config; falls back to constants</t>
  </si>
  <si>
    <t xml:space="preserve">Gap B fix</t>
  </si>
  <si>
    <t xml:space="preserve">OPG-021</t>
  </si>
  <si>
    <t xml:space="preserve">scorecard.enabled flag respected</t>
  </si>
  <si>
    <t xml:space="preserve">Guard added at top of get_scorecard() — returns None immediately when flag is false</t>
  </si>
  <si>
    <t xml:space="preserve">Gap C fix</t>
  </si>
  <si>
    <t xml:space="preserve">OPG-022</t>
  </si>
  <si>
    <t xml:space="preserve">WS03 Provider Infrastructure</t>
  </si>
  <si>
    <t xml:space="preserve">GitHubProvider implementation</t>
  </si>
  <si>
    <t xml:space="preserve">Extends ProviderBase; parses owner/repo from URL; uses Bearer token auth</t>
  </si>
  <si>
    <t xml:space="preserve">OPG-023</t>
  </si>
  <si>
    <t xml:space="preserve">ScorecardProvider implementation</t>
  </si>
  <si>
    <t xml:space="preserve">Extends ProviderBase; sets Accept: application/json; queries api.securityscorecards.dev</t>
  </si>
  <si>
    <t xml:space="preserve">OPG-024</t>
  </si>
  <si>
    <t xml:space="preserve">Rate-limiting at provider level</t>
  </si>
  <si>
    <t xml:space="preserve">_sleep_rate_limit() in ProviderBase using monotonic clock</t>
  </si>
  <si>
    <t xml:space="preserve">OPG-025</t>
  </si>
  <si>
    <t xml:space="preserve">Response caching with configurable TTL</t>
  </si>
  <si>
    <t xml:space="preserve">SimpleCache in ProviderBase; cache key = URL + sorted params</t>
  </si>
  <si>
    <t xml:space="preserve">OPG-026</t>
  </si>
  <si>
    <t xml:space="preserve">Retry with exponential backoff</t>
  </si>
  <si>
    <t xml:space="preserve">Up to retries attempts; sleep = backoff_factor x 2^attempt</t>
  </si>
  <si>
    <t xml:space="preserve">OPG-027</t>
  </si>
  <si>
    <t xml:space="preserve">Malformed JSON response handling</t>
  </si>
  <si>
    <t xml:space="preserve">ValueError on .json() is caught and wrapped as MALFORMED ProviderStatus</t>
  </si>
  <si>
    <t xml:space="preserve">OPG-028</t>
  </si>
  <si>
    <t xml:space="preserve">HTTP 429 rate-limit distinction</t>
  </si>
  <si>
    <t xml:space="preserve">HTTP 429 mapped to ProviderStatus.RATE_LIMIT, not generic error</t>
  </si>
  <si>
    <t xml:space="preserve">OPG-029</t>
  </si>
  <si>
    <t xml:space="preserve">WS04 GitHub Integration</t>
  </si>
  <si>
    <t xml:space="preserve">Fetch repository star count</t>
  </si>
  <si>
    <t xml:space="preserve">get_github_metrics() — stargazers_count</t>
  </si>
  <si>
    <t xml:space="preserve">OPG-030</t>
  </si>
  <si>
    <t xml:space="preserve">Fetch repository fork count</t>
  </si>
  <si>
    <t xml:space="preserve">get_github_metrics() — forks_count</t>
  </si>
  <si>
    <t xml:space="preserve">OPG-031</t>
  </si>
  <si>
    <t xml:space="preserve">Fetch last commit timestamp</t>
  </si>
  <si>
    <t xml:space="preserve">get_github_metrics() — pushed_at; used for activity score calculation</t>
  </si>
  <si>
    <t xml:space="preserve">OPG-032</t>
  </si>
  <si>
    <t xml:space="preserve">Fetch open issue count</t>
  </si>
  <si>
    <t xml:space="preserve">get_github_metrics() — open_issues_count</t>
  </si>
  <si>
    <t xml:space="preserve">OPG-033</t>
  </si>
  <si>
    <t xml:space="preserve">Fetch contributors URL</t>
  </si>
  <si>
    <t xml:space="preserve">get_github_metrics() — contributors_url for geolocation pipeline</t>
  </si>
  <si>
    <t xml:space="preserve">OPG-034</t>
  </si>
  <si>
    <t xml:space="preserve">Validate GitHub URL before API call</t>
  </si>
  <si>
    <t xml:space="preserve">_parse_github_owner_repo() raises ValueError on non-GitHub or malformed URLs</t>
  </si>
  <si>
    <t xml:space="preserve">OPG-035</t>
  </si>
  <si>
    <t xml:space="preserve">Graceful network failure handling</t>
  </si>
  <si>
    <t xml:space="preserve">requests.RequestException caught; logs error; returns None</t>
  </si>
  <si>
    <t xml:space="preserve">OPG-036</t>
  </si>
  <si>
    <t xml:space="preserve">Fetch top-N contributors with profile data</t>
  </si>
  <si>
    <t xml:space="preserve">get_contributor_locations() — queries /users/{login} for location + company</t>
  </si>
  <si>
    <t xml:space="preserve">OPG-037</t>
  </si>
  <si>
    <t xml:space="preserve">Configurable contributor fetch limit</t>
  </si>
  <si>
    <t xml:space="preserve">geocoding.max_contributors in config.yaml (default 10)</t>
  </si>
  <si>
    <t xml:space="preserve">OPG-038</t>
  </si>
  <si>
    <t xml:space="preserve">Authenticated requests via GitHub token</t>
  </si>
  <si>
    <t xml:space="preserve">Authorization: token {token} header when token is configured</t>
  </si>
  <si>
    <t xml:space="preserve">OPG-039</t>
  </si>
  <si>
    <t xml:space="preserve">GitLab / Bitbucket support</t>
  </si>
  <si>
    <t xml:space="preserve">P2</t>
  </si>
  <si>
    <t xml:space="preserve">❌ Not Started</t>
  </si>
  <si>
    <t xml:space="preserve">GitHub only currently; future roadmap for GitLab and Bitbucket APIs</t>
  </si>
  <si>
    <t xml:space="preserve">OPG-040</t>
  </si>
  <si>
    <t xml:space="preserve">WS05 CVE Intelligence</t>
  </si>
  <si>
    <t xml:space="preserve">NVD API v2 integration</t>
  </si>
  <si>
    <t xml:space="preserve">Query NVD v2 /rest/json/cves/2.0 — replaces deprecated NVD v1 API</t>
  </si>
  <si>
    <t xml:space="preserve">OPG-041</t>
  </si>
  <si>
    <t xml:space="preserve">3-year look-back window</t>
  </si>
  <si>
    <t xml:space="preserve">_CVE_LOOKBACK_DAYS = 3x365; applied via pubStartDate parameter</t>
  </si>
  <si>
    <t xml:space="preserve">OPG-042</t>
  </si>
  <si>
    <t xml:space="preserve">Paginated CVE results</t>
  </si>
  <si>
    <t xml:space="preserve">Up to 50 CVEs per query via resultsPerPage; configurable constant</t>
  </si>
  <si>
    <t xml:space="preserve">OPG-043</t>
  </si>
  <si>
    <t xml:space="preserve">CVSSv3.1 severity parsing</t>
  </si>
  <si>
    <t xml:space="preserve">cvssMetricV31 checked first; falls back to v3.0 then v2</t>
  </si>
  <si>
    <t xml:space="preserve">OPG-044</t>
  </si>
  <si>
    <t xml:space="preserve">CVSSv3.0 fallback</t>
  </si>
  <si>
    <t xml:space="preserve">Priority chain: v3.1 -&gt; v3.0 -&gt; v2 for maximum CVSS coverage</t>
  </si>
  <si>
    <t xml:space="preserve">OPG-045</t>
  </si>
  <si>
    <t xml:space="preserve">CVSSv2 fallback</t>
  </si>
  <si>
    <t xml:space="preserve">Captures baseSeverity from v2 bucket when v3.x unavailable</t>
  </si>
  <si>
    <t xml:space="preserve">OPG-046</t>
  </si>
  <si>
    <t xml:space="preserve">CVE count by severity band</t>
  </si>
  <si>
    <t xml:space="preserve">Count CRITICAL/HIGH/MEDIUM/LOW CVEs returned in check_cves() result dict</t>
  </si>
  <si>
    <t xml:space="preserve">OPG-047</t>
  </si>
  <si>
    <t xml:space="preserve">Safe empty structure on API failure</t>
  </si>
  <si>
    <t xml:space="preserve">All zero counts; last_updated timestamp preserved on failure</t>
  </si>
  <si>
    <t xml:space="preserve">OPG-048</t>
  </si>
  <si>
    <t xml:space="preserve">Authenticated NVD requests</t>
  </si>
  <si>
    <t xml:space="preserve">apiKey header when NVD API key is configured</t>
  </si>
  <si>
    <t xml:space="preserve">OPG-049</t>
  </si>
  <si>
    <t xml:space="preserve">EPSS exploit-probability fetch</t>
  </si>
  <si>
    <t xml:space="preserve">get_epss_scores() via api.first.org; no API key required</t>
  </si>
  <si>
    <t xml:space="preserve">OPG-050</t>
  </si>
  <si>
    <t xml:space="preserve">Batch EPSS requests (30 CVE IDs)</t>
  </si>
  <si>
    <t xml:space="preserve">Handles pagination within a single CVE result set</t>
  </si>
  <si>
    <t xml:space="preserve">OPG-051</t>
  </si>
  <si>
    <t xml:space="preserve">EPSS per-CVE enrichment</t>
  </si>
  <si>
    <t xml:space="preserve">Attach epss and epss_percentile to each CVE object in check_cves()</t>
  </si>
  <si>
    <t xml:space="preserve">OPG-052</t>
  </si>
  <si>
    <t xml:space="preserve">EPSS high-count tracking</t>
  </si>
  <si>
    <t xml:space="preserve">Count CVEs with EPSS &gt;= 0.5 (epss_high) — actively-weaponised indicator</t>
  </si>
  <si>
    <t xml:space="preserve">OPG-053</t>
  </si>
  <si>
    <t xml:space="preserve">Maximum EPSS tracking</t>
  </si>
  <si>
    <t xml:space="preserve">Track max_epss value across all CVEs for dashboard display</t>
  </si>
  <si>
    <t xml:space="preserve">OPG-054</t>
  </si>
  <si>
    <t xml:space="preserve">Graceful batch-level EPSS failure</t>
  </si>
  <si>
    <t xml:space="preserve">Per-batch try/except; partial EPSS results returned on failure</t>
  </si>
  <si>
    <t xml:space="preserve">OPG-055</t>
  </si>
  <si>
    <t xml:space="preserve">NVD rate-limit enforcement</t>
  </si>
  <si>
    <t xml:space="preserve">_rate_limited_get() using nvd.rate_limit config value</t>
  </si>
  <si>
    <t xml:space="preserve">OPG-056</t>
  </si>
  <si>
    <t xml:space="preserve">WS06 OSV &amp; Malicious Detection</t>
  </si>
  <si>
    <t xml:space="preserve">OSV.dev API integration</t>
  </si>
  <si>
    <t xml:space="preserve">check_osv() queries api.osv.dev/v1/query by package + ecosystem via HTTP POST</t>
  </si>
  <si>
    <t xml:space="preserve">src/osspolicyguard/advisory_dedup.py</t>
  </si>
  <si>
    <t xml:space="preserve">OPG-057</t>
  </si>
  <si>
    <t xml:space="preserve">Malicious package detection via MAL- IDs</t>
  </si>
  <si>
    <t xml:space="preserve">is_malicious flag set when any MAL- advisory found (ossf/malicious-packages source)</t>
  </si>
  <si>
    <t xml:space="preserve">OPG-058</t>
  </si>
  <si>
    <t xml:space="preserve">Extra GHSA advisory count</t>
  </si>
  <si>
    <t xml:space="preserve">Count GHSA/ecosystem advisories without CVE aliases as extra_advisories</t>
  </si>
  <si>
    <t xml:space="preserve">OPG-059</t>
  </si>
  <si>
    <t xml:space="preserve">Skip CVE-aliased advisories in dedup</t>
  </si>
  <si>
    <t xml:space="preserve">Avoids double-penalising CVEs already in NVD pipeline</t>
  </si>
  <si>
    <t xml:space="preserve">OPG-060</t>
  </si>
  <si>
    <t xml:space="preserve">OSV ecosystem identifier mapping</t>
  </si>
  <si>
    <t xml:space="preserve">_resolve_osv_ecosystem() maps npm/pypi/rubygems/crates/nuget/packagist/maven</t>
  </si>
  <si>
    <t xml:space="preserve">OPG-061</t>
  </si>
  <si>
    <t xml:space="preserve">OSV works when Maven downloads disabled</t>
  </si>
  <si>
    <t xml:space="preserve">_resolve_osv_ecosystem intentionally ignores registry enabled flag</t>
  </si>
  <si>
    <t xml:space="preserve">OPG-062</t>
  </si>
  <si>
    <t xml:space="preserve">osv.enabled config flag</t>
  </si>
  <si>
    <t xml:space="preserve">Gates all OSV queries; returns empty result without making any HTTP call</t>
  </si>
  <si>
    <t xml:space="preserve">OPG-063</t>
  </si>
  <si>
    <t xml:space="preserve">malicious_packages.enabled flag</t>
  </si>
  <si>
    <t xml:space="preserve">OSV vulns still checked; only MAL- flagging suppressed independently</t>
  </si>
  <si>
    <t xml:space="preserve">OPG-064</t>
  </si>
  <si>
    <t xml:space="preserve">Graceful OSV failure handling</t>
  </si>
  <si>
    <t xml:space="preserve">requests.RequestException caught; is_malicious=False returned safely</t>
  </si>
  <si>
    <t xml:space="preserve">OPG-065</t>
  </si>
  <si>
    <t xml:space="preserve">WS07 Package Registry Downloads</t>
  </si>
  <si>
    <t xml:space="preserve">Config-driven registry selection</t>
  </si>
  <si>
    <t xml:space="preserve">registries section in config.yaml; each registry has enabled, timeout, languages</t>
  </si>
  <si>
    <t xml:space="preserve">OPG-066</t>
  </si>
  <si>
    <t xml:space="preserve">Language alias resolution</t>
  </si>
  <si>
    <t xml:space="preserve">_resolve_registry() scans languages list; python-&gt;pypi, javascript-&gt;npm</t>
  </si>
  <si>
    <t xml:space="preserve">OPG-067</t>
  </si>
  <si>
    <t xml:space="preserve">Case-insensitive ecosystem matching</t>
  </si>
  <si>
    <t xml:space="preserve">.lower().strip() normalisation for ecosystem/language matching</t>
  </si>
  <si>
    <t xml:space="preserve">OPG-068</t>
  </si>
  <si>
    <t xml:space="preserve">Respect enabled:false registry flag</t>
  </si>
  <si>
    <t xml:space="preserve">Returns None without fetching when registry is disabled in config</t>
  </si>
  <si>
    <t xml:space="preserve">OPG-069</t>
  </si>
  <si>
    <t xml:space="preserve">npm weekly download count</t>
  </si>
  <si>
    <t xml:space="preserve">api.npmjs.org/downloads/point/last-week/{package} — true weekly count</t>
  </si>
  <si>
    <t xml:space="preserve">OPG-070</t>
  </si>
  <si>
    <t xml:space="preserve">PyPI weekly download count</t>
  </si>
  <si>
    <t xml:space="preserve">pypistats.org/api/packages/{package}/recent — last_week — true weekly count</t>
  </si>
  <si>
    <t xml:space="preserve">OPG-071</t>
  </si>
  <si>
    <t xml:space="preserve">RubyGems weekly estimate</t>
  </si>
  <si>
    <t xml:space="preserve">version_downloads / 52 — no public weekly API; noted in config</t>
  </si>
  <si>
    <t xml:space="preserve">OPG-072</t>
  </si>
  <si>
    <t xml:space="preserve">crates.io weekly estimate</t>
  </si>
  <si>
    <t xml:space="preserve">recent_downloads / 13 (90-day window) via crates.io/api/v1/crates/{package}</t>
  </si>
  <si>
    <t xml:space="preserve">OPG-073</t>
  </si>
  <si>
    <t xml:space="preserve">NuGet weekly estimate</t>
  </si>
  <si>
    <t xml:space="preserve">totalDownloads / 104 (2-year lifetime) via azuresearch-usnc.nuget.org/query</t>
  </si>
  <si>
    <t xml:space="preserve">OPG-074</t>
  </si>
  <si>
    <t xml:space="preserve">Packagist weekly estimate</t>
  </si>
  <si>
    <t xml:space="preserve">monthly / 4; requires vendor/package format</t>
  </si>
  <si>
    <t xml:space="preserve">OPG-075</t>
  </si>
  <si>
    <t xml:space="preserve">Packagist missing vendor prefix warning</t>
  </si>
  <si>
    <t xml:space="preserve">logger.warning; returns zero without raising exception</t>
  </si>
  <si>
    <t xml:space="preserve">OPG-076</t>
  </si>
  <si>
    <t xml:space="preserve">Maven download count</t>
  </si>
  <si>
    <t xml:space="preserve">Maven Central has no public download API; registry disabled</t>
  </si>
  <si>
    <t xml:space="preserve">Pending public API</t>
  </si>
  <si>
    <t xml:space="preserve">OPG-077</t>
  </si>
  <si>
    <t xml:space="preserve">Normalised download count structure</t>
  </si>
  <si>
    <t xml:space="preserve">All fetchers return {weekly_downloads, period, registry} regardless of underlying API period</t>
  </si>
  <si>
    <t xml:space="preserve">OPG-078</t>
  </si>
  <si>
    <t xml:space="preserve">Graceful registry network failure</t>
  </si>
  <si>
    <t xml:space="preserve">requests.RequestException caught at dispatcher level; returns None</t>
  </si>
  <si>
    <t xml:space="preserve">OPG-079</t>
  </si>
  <si>
    <t xml:space="preserve">WS08 OpenSSF Scorecard</t>
  </si>
  <si>
    <t xml:space="preserve">Fetch Scorecard security score (0-10)</t>
  </si>
  <si>
    <t xml:space="preserve">get_scorecard() via api.securityscorecards.dev — score returned 0-10 scale</t>
  </si>
  <si>
    <t xml:space="preserve">OPG-080</t>
  </si>
  <si>
    <t xml:space="preserve">Fetch per-check scores</t>
  </si>
  <si>
    <t xml:space="preserve">Returns checks dict of name -&gt; score (Code-Review, Branch-Protection, etc.)</t>
  </si>
  <si>
    <t xml:space="preserve">OPG-081</t>
  </si>
  <si>
    <t xml:space="preserve">Graceful HTTP 404 handling</t>
  </si>
  <si>
    <t xml:space="preserve">Returns None when repo is not indexed; logged at INFO level</t>
  </si>
  <si>
    <t xml:space="preserve">OPG-082</t>
  </si>
  <si>
    <t xml:space="preserve">requests.RequestException caught; returns None safely</t>
  </si>
  <si>
    <t xml:space="preserve">OPG-083</t>
  </si>
  <si>
    <t xml:space="preserve">Scorecard blended into security score</t>
  </si>
  <si>
    <t xml:space="preserve">0.6 x CVE_score + 0.4 x (scorecard x 10) at 40% weight</t>
  </si>
  <si>
    <t xml:space="preserve">OPG-084</t>
  </si>
  <si>
    <t xml:space="preserve">scorecard.enabled flag guard</t>
  </si>
  <si>
    <t xml:space="preserve">Guard in get_scorecard() skips HTTP call and returns None when disabled</t>
  </si>
  <si>
    <t xml:space="preserve">OPG-085</t>
  </si>
  <si>
    <t xml:space="preserve">WS09 Contributor Geolocation</t>
  </si>
  <si>
    <t xml:space="preserve">Fast-path location lookup</t>
  </si>
  <si>
    <t xml:space="preserve">_LOCATION_COUNTRY_MAP with ~150 entries; covers high-risk nations and major developer cities</t>
  </si>
  <si>
    <t xml:space="preserve">OPG-086</t>
  </si>
  <si>
    <t xml:space="preserve">Nominatim fallback geocoding</t>
  </si>
  <si>
    <t xml:space="preserve">_geocode_location() via OpenStreetMap Nominatim; no API key required</t>
  </si>
  <si>
    <t xml:space="preserve">OPG-087</t>
  </si>
  <si>
    <t xml:space="preserve">Configurable Nominatim URL and User-Agent</t>
  </si>
  <si>
    <t xml:space="preserve">geocoding.nominatim_url and geocoding.user_agent in config.yaml</t>
  </si>
  <si>
    <t xml:space="preserve">OPG-088</t>
  </si>
  <si>
    <t xml:space="preserve">geocoding.enabled flag</t>
  </si>
  <si>
    <t xml:space="preserve">Gates all geolocation; returns empty list without any HTTP call</t>
  </si>
  <si>
    <t xml:space="preserve">OPG-089</t>
  </si>
  <si>
    <t xml:space="preserve">Case-insensitive location string matching</t>
  </si>
  <si>
    <t xml:space="preserve">.lower().strip() before lookup in location dictionary</t>
  </si>
  <si>
    <t xml:space="preserve">OPG-090</t>
  </si>
  <si>
    <t xml:space="preserve">Best-effort geocoding failures</t>
  </si>
  <si>
    <t xml:space="preserve">Nominatim network errors silently swallowed; returns empty string</t>
  </si>
  <si>
    <t xml:space="preserve">OPG-091</t>
  </si>
  <si>
    <t xml:space="preserve">ISO 3166-1 alpha-2 country codes</t>
  </si>
  <si>
    <t xml:space="preserve">Used for geo-risk country comparison</t>
  </si>
  <si>
    <t xml:space="preserve">OPG-092</t>
  </si>
  <si>
    <t xml:space="preserve">Contributor commit-count weighting</t>
  </si>
  <si>
    <t xml:space="preserve">_calculate_geo_risk_score() weights geo risk by contributions count</t>
  </si>
  <si>
    <t xml:space="preserve">OPG-093</t>
  </si>
  <si>
    <t xml:space="preserve">Configurable high-risk countries</t>
  </si>
  <si>
    <t xml:space="preserve">risk.high_risk_countries in config.yaml; default: CN, RU, IR, KP, SY</t>
  </si>
  <si>
    <t xml:space="preserve">OPG-094</t>
  </si>
  <si>
    <t xml:space="preserve">Unknown location partial penalty</t>
  </si>
  <si>
    <t xml:space="preserve">20% penalty applied for unresolvable contributor locations</t>
  </si>
  <si>
    <t xml:space="preserve">OPG-095</t>
  </si>
  <si>
    <t xml:space="preserve">WS10 Scoring Algorithms</t>
  </si>
  <si>
    <t xml:space="preserve">Activity score algorithm</t>
  </si>
  <si>
    <t xml:space="preserve">&lt;7d-&gt;100, &lt;30d-&gt;80, &lt;90d-&gt;60, &lt;365d-&gt;30, &gt;=365d-&gt;10, no data-&gt;40</t>
  </si>
  <si>
    <t xml:space="preserve">OPG-096</t>
  </si>
  <si>
    <t xml:space="preserve">Security score EPSS-weighted CVE deductions</t>
  </si>
  <si>
    <t xml:space="preserve">EPSS&gt;=0.5-&gt;-15, 0.1-0.5-&gt;-8, &gt;0-&gt;-2; fallback: CRITICAL-&gt;-10, HIGH-&gt;-5, MEDIUM-&gt;-2</t>
  </si>
  <si>
    <t xml:space="preserve">OPG-097</t>
  </si>
  <si>
    <t xml:space="preserve">Security score OSV extra-advisory deduction</t>
  </si>
  <si>
    <t xml:space="preserve">-3 pts per GHSA/ecosystem advisory; capped at -20 pts (configurable)</t>
  </si>
  <si>
    <t xml:space="preserve">OPG-098</t>
  </si>
  <si>
    <t xml:space="preserve">Malicious package forces security score to 0</t>
  </si>
  <si>
    <t xml:space="preserve">Triggered by is_malicious=True + auto_prohibit=True</t>
  </si>
  <si>
    <t xml:space="preserve">OPG-099</t>
  </si>
  <si>
    <t xml:space="preserve">OpenSSF Scorecard blended into security score</t>
  </si>
  <si>
    <t xml:space="preserve">0.6 x CVE_score + 0.4 x (scorecard x 10)</t>
  </si>
  <si>
    <t xml:space="preserve">OPG-100</t>
  </si>
  <si>
    <t xml:space="preserve">Trust score — fork count maturity</t>
  </si>
  <si>
    <t xml:space="preserve">&gt;5K forks-&gt;100, &gt;1K-&gt;80, &gt;100-&gt;60, low-&gt;40, no data-&gt;50 neutral; 60% weight</t>
  </si>
  <si>
    <t xml:space="preserve">OPG-101</t>
  </si>
  <si>
    <t xml:space="preserve">Trust score — geopolitical risk</t>
  </si>
  <si>
    <t xml:space="preserve">_calculate_geo_risk_score() — commit-weighted penalty; 40% weight</t>
  </si>
  <si>
    <t xml:space="preserve">OPG-102</t>
  </si>
  <si>
    <t xml:space="preserve">Community score — weekly download count</t>
  </si>
  <si>
    <t xml:space="preserve">&gt;1M-&gt;100, &gt;100K-&gt;80, &gt;10K-&gt;60, else-&gt;40; 70% weight</t>
  </si>
  <si>
    <t xml:space="preserve">OPG-103</t>
  </si>
  <si>
    <t xml:space="preserve">Community score — GitHub star count</t>
  </si>
  <si>
    <t xml:space="preserve">&gt;10K-&gt;100, &gt;1K-&gt;80, &gt;100-&gt;60, else-&gt;40; 30% weight</t>
  </si>
  <si>
    <t xml:space="preserve">OPG-104</t>
  </si>
  <si>
    <t xml:space="preserve">Single-signal community score fallback</t>
  </si>
  <si>
    <t xml:space="preserve">Downloads-only or stars-only handled separately when one signal unavailable</t>
  </si>
  <si>
    <t xml:space="preserve">OPG-105</t>
  </si>
  <si>
    <t xml:space="preserve">Weighted total score</t>
  </si>
  <si>
    <t xml:space="preserve">Configurable weights: activity=30%, trust=20%, security=35%, community=15%</t>
  </si>
  <si>
    <t xml:space="preserve">OPG-106</t>
  </si>
  <si>
    <t xml:space="preserve">Score weights must sum to 100</t>
  </si>
  <si>
    <t xml:space="preserve">_load_config emits UserWarning with actual sum when weights don't add to 100</t>
  </si>
  <si>
    <t xml:space="preserve">Gap D fix</t>
  </si>
  <si>
    <t xml:space="preserve">OPG-107</t>
  </si>
  <si>
    <t xml:space="preserve">Issue / PR response time metric</t>
  </si>
  <si>
    <t xml:space="preserve">Future roadmap — requires GitHub Issues API integration</t>
  </si>
  <si>
    <t xml:space="preserve">OPG-108</t>
  </si>
  <si>
    <t xml:space="preserve">Release cadence analysis</t>
  </si>
  <si>
    <t xml:space="preserve">Future roadmap — requires GitHub Releases API</t>
  </si>
  <si>
    <t xml:space="preserve">OPG-109</t>
  </si>
  <si>
    <t xml:space="preserve">Commit frequency metric</t>
  </si>
  <si>
    <t xml:space="preserve">Future roadmap — separate from staleness signal</t>
  </si>
  <si>
    <t xml:space="preserve">OPG-110</t>
  </si>
  <si>
    <t xml:space="preserve">Transitive dependency vulnerability depth</t>
  </si>
  <si>
    <t xml:space="preserve">Future roadmap — full transitive graph analysis</t>
  </si>
  <si>
    <t xml:space="preserve">OPG-111</t>
  </si>
  <si>
    <t xml:space="preserve">WS11 Approval &amp; Risk Logic</t>
  </si>
  <si>
    <t xml:space="preserve">Mission Critical approval tiers</t>
  </si>
  <si>
    <t xml:space="preserve">&gt;=90-&gt;APPROVED, &gt;=80-&gt;REVIEW BOARD, else-&gt;PROHIBITED</t>
  </si>
  <si>
    <t xml:space="preserve">OPG-112</t>
  </si>
  <si>
    <t xml:space="preserve">Business Critical approval tiers</t>
  </si>
  <si>
    <t xml:space="preserve">&gt;=80-&gt;APPROVED, &gt;=70-&gt;MITIGATION REQUIRED, else-&gt;PROHIBITED</t>
  </si>
  <si>
    <t xml:space="preserve">OPG-113</t>
  </si>
  <si>
    <t xml:space="preserve">Non-Critical approval tiers</t>
  </si>
  <si>
    <t xml:space="preserve">&gt;=70-&gt;AUTO-APPROVED, &gt;=60-&gt;APPROVED, else-&gt;MITIGATION REQUIRED</t>
  </si>
  <si>
    <t xml:space="preserve">OPG-114</t>
  </si>
  <si>
    <t xml:space="preserve">Criticality field validation</t>
  </si>
  <si>
    <t xml:space="preserve">ValueError raised for any value outside _VALID_CRITICALITY set</t>
  </si>
  <si>
    <t xml:space="preserve">OPG-115</t>
  </si>
  <si>
    <t xml:space="preserve">component_data type validation</t>
  </si>
  <si>
    <t xml:space="preserve">TypeError raised with descriptive message if component_data is not a dict</t>
  </si>
  <si>
    <t xml:space="preserve">OPG-116</t>
  </si>
  <si>
    <t xml:space="preserve">Malicious package PROHIBITED override</t>
  </si>
  <si>
    <t xml:space="preserve">Post-scoring override in evaluate_component() regardless of numerical score</t>
  </si>
  <si>
    <t xml:space="preserve">OPG-117</t>
  </si>
  <si>
    <t xml:space="preserve">Risk level mapping</t>
  </si>
  <si>
    <t xml:space="preserve">Low / Medium-Low / Medium / Medium-High / High via _get_risk_level()</t>
  </si>
  <si>
    <t xml:space="preserve">OPG-118</t>
  </si>
  <si>
    <t xml:space="preserve">Full audit context in results</t>
  </si>
  <si>
    <t xml:space="preserve">timestamp, analysis_version, config_used in every evaluate_component() result</t>
  </si>
  <si>
    <t xml:space="preserve">OPG-119</t>
  </si>
  <si>
    <t xml:space="preserve">Audit trail persistence</t>
  </si>
  <si>
    <t xml:space="preserve">Database / file persistence of all evaluation results; immutable audit log</t>
  </si>
  <si>
    <t xml:space="preserve">OPG-081 ref</t>
  </si>
  <si>
    <t xml:space="preserve">OPG-120</t>
  </si>
  <si>
    <t xml:space="preserve">JIRA / Slack / Teams notifications</t>
  </si>
  <si>
    <t xml:space="preserve">Notification on PROHIBITED results; webhook-based integration</t>
  </si>
  <si>
    <t xml:space="preserve">OPG-121</t>
  </si>
  <si>
    <t xml:space="preserve">WS12 Visualization &amp; Jupyter</t>
  </si>
  <si>
    <t xml:space="preserve">Score breakdown bar chart</t>
  </si>
  <si>
    <t xml:space="preserve">OSSVisualizer.create_dashboard() — colour-coded four-component bar chart (matplotlib)</t>
  </si>
  <si>
    <t xml:space="preserve">OPG-122</t>
  </si>
  <si>
    <t xml:space="preserve">Risk gauge pie chart</t>
  </si>
  <si>
    <t xml:space="preserve">Score vs risk gap; colour-keyed to risk level</t>
  </si>
  <si>
    <t xml:space="preserve">OPG-123</t>
  </si>
  <si>
    <t xml:space="preserve">Scoring framework reference table</t>
  </si>
  <si>
    <t xml:space="preserve">pandas DataFrame rendered as styled Markdown via IPython.display</t>
  </si>
  <si>
    <t xml:space="preserve">OPG-124</t>
  </si>
  <si>
    <t xml:space="preserve">Risk heat mapping table</t>
  </si>
  <si>
    <t xml:space="preserve">OSSScorer.create_proprietary_additions() — Risk_Heat_Mapping DataFrame</t>
  </si>
  <si>
    <t xml:space="preserve">OPG-125</t>
  </si>
  <si>
    <t xml:space="preserve">Geopolitical risk matrix table</t>
  </si>
  <si>
    <t xml:space="preserve">Geopolitical_Risk_Matrix DataFrame in proprietary additions</t>
  </si>
  <si>
    <t xml:space="preserve">OPG-126</t>
  </si>
  <si>
    <t xml:space="preserve">Interactive criticality dropdown</t>
  </si>
  <si>
    <t xml:space="preserve">OSSVisualizer.interactive_selector() via Jupyter/ipywidgets</t>
  </si>
  <si>
    <t xml:space="preserve">OPG-127</t>
  </si>
  <si>
    <t xml:space="preserve">Test-safe dashboard rendering</t>
  </si>
  <si>
    <t xml:space="preserve">show=False mode suppresses plt.show() in non-interactive environments</t>
  </si>
  <si>
    <t xml:space="preserve">OPG-128</t>
  </si>
  <si>
    <t xml:space="preserve">Standalone CLI interface</t>
  </si>
  <si>
    <t xml:space="preserve">src/osspolicyguard/cli.py — multi-command CLI with --format option</t>
  </si>
  <si>
    <t xml:space="preserve">src/osspolicyguard/cli.py</t>
  </si>
  <si>
    <t xml:space="preserve">OPG-129</t>
  </si>
  <si>
    <t xml:space="preserve">HTML / PDF report export</t>
  </si>
  <si>
    <t xml:space="preserve">Future roadmap — export to HTML/PDF from evaluation results</t>
  </si>
  <si>
    <t xml:space="preserve">OPG-137 ref</t>
  </si>
  <si>
    <t xml:space="preserve">OPG-130</t>
  </si>
  <si>
    <t xml:space="preserve">WS13 CLI &amp; Reporting</t>
  </si>
  <si>
    <t xml:space="preserve">SARIF 2.1.0 output format</t>
  </si>
  <si>
    <t xml:space="preserve">to_sarif() in reports.py — standard security finding format with rule objects</t>
  </si>
  <si>
    <t xml:space="preserve">src/osspolicyguard/reports.py</t>
  </si>
  <si>
    <t xml:space="preserve">OPG-131</t>
  </si>
  <si>
    <t xml:space="preserve">Markdown PR comment format</t>
  </si>
  <si>
    <t xml:space="preserve">to_markdown_pr() — bounded PR comment with decision badge and findings table</t>
  </si>
  <si>
    <t xml:space="preserve">OPG-132</t>
  </si>
  <si>
    <t xml:space="preserve">JSON Schema config validation</t>
  </si>
  <si>
    <t xml:space="preserve">config.schema.json draft 2020-12; additionalProperties: false at top level</t>
  </si>
  <si>
    <t xml:space="preserve">config.schema.json</t>
  </si>
  <si>
    <t xml:space="preserve">OPG-133</t>
  </si>
  <si>
    <t xml:space="preserve">WS14 License Compliance</t>
  </si>
  <si>
    <t xml:space="preserve">SPDX license detection</t>
  </si>
  <si>
    <t xml:space="preserve">Identify declared license from registry metadata and package files; parse SPDX expressions; store canonical SPDX identifier per package</t>
  </si>
  <si>
    <t xml:space="preserve">New OPG-133</t>
  </si>
  <si>
    <t xml:space="preserve">OPG-134</t>
  </si>
  <si>
    <t xml:space="preserve">Copyleft propagation analysis</t>
  </si>
  <si>
    <t xml:space="preserve">Flag GPL-2/3, LGPL, AGPL, MPL, EPL; determine strong/weak copyleft applicability based on link type</t>
  </si>
  <si>
    <t xml:space="preserve">New OPG-134</t>
  </si>
  <si>
    <t xml:space="preserve">OPG-135</t>
  </si>
  <si>
    <t xml:space="preserve">License compatibility matrix</t>
  </si>
  <si>
    <t xml:space="preserve">Configurable compatibility matrix; flag incompatible combinations in dependency graph; custom allow/deny rules</t>
  </si>
  <si>
    <t xml:space="preserve">New OPG-135</t>
  </si>
  <si>
    <t xml:space="preserve">OPG-136</t>
  </si>
  <si>
    <t xml:space="preserve">Dual-license and commercial restriction detection</t>
  </si>
  <si>
    <t xml:space="preserve">Detect dual-licensed packages with commercial fees or non-commercial-use clauses; surface as REVIEW finding</t>
  </si>
  <si>
    <t xml:space="preserve">New OPG-136</t>
  </si>
  <si>
    <t xml:space="preserve">OPG-137</t>
  </si>
  <si>
    <t xml:space="preserve">License compliance report generation</t>
  </si>
  <si>
    <t xml:space="preserve">Machine-readable report per component: license, compatibility verdict, applicable policy rule; JSON and Markdown outputs</t>
  </si>
  <si>
    <t xml:space="preserve">New OPG-137</t>
  </si>
  <si>
    <t xml:space="preserve">OPG-138</t>
  </si>
  <si>
    <t xml:space="preserve">Attribution / NOTICE file generation</t>
  </si>
  <si>
    <t xml:space="preserve">Aggregate copyright notices and license texts for all direct and transitive dependencies; suitable for distribution bundles</t>
  </si>
  <si>
    <t xml:space="preserve">New OPG-138</t>
  </si>
  <si>
    <t xml:space="preserve">OPG-139</t>
  </si>
  <si>
    <t xml:space="preserve">WS15 Dependency Management Extended</t>
  </si>
  <si>
    <t xml:space="preserve">Dependency pinning policy enforcement</t>
  </si>
  <si>
    <t xml:space="preserve">Flag manifests with floating ranges (^, ~, *, latest, &gt;x); configurable allowed range styles per ecosystem; lockfile hash-pin requirement separately configurable</t>
  </si>
  <si>
    <t xml:space="preserve">New OPG-139</t>
  </si>
  <si>
    <t xml:space="preserve">OPG-140</t>
  </si>
  <si>
    <t xml:space="preserve">End-of-life and deprecation tracking</t>
  </si>
  <si>
    <t xml:space="preserve">Ingest official EOL dates from registry deprecation flags, endoflife.date API, and language-runtime schedules; surface as distinct REVIEW/PROHIBITED finding with exact EOL date</t>
  </si>
  <si>
    <t xml:space="preserve">New OPG-140</t>
  </si>
  <si>
    <t xml:space="preserve">OPG-141</t>
  </si>
  <si>
    <t xml:space="preserve">WS16 Evidence Providers Extended</t>
  </si>
  <si>
    <t xml:space="preserve">Private registry provider</t>
  </si>
  <si>
    <t xml:space="preserve">Support JFrog Artifactory, Sonatype Nexus, GitHub Packages, AWS CodeArtifact, Azure Artifacts, Google Artifact Registry; credentials never hard-coded</t>
  </si>
  <si>
    <t xml:space="preserve">New OPG-141</t>
  </si>
  <si>
    <t xml:space="preserve">OPG-142</t>
  </si>
  <si>
    <t xml:space="preserve">Real-time new-version alerting</t>
  </si>
  <si>
    <t xml:space="preserve">Subscribe to registry publication feeds (npm hooks, PyPI RSS, crates.io); emit typed event when watched package publishes a new high-risk version</t>
  </si>
  <si>
    <t xml:space="preserve">New OPG-142</t>
  </si>
  <si>
    <t xml:space="preserve">OPG-143</t>
  </si>
  <si>
    <t xml:space="preserve">Maintainer account credibility scoring</t>
  </si>
  <si>
    <t xml:space="preserve">Score account age, MFA status, prior release history, and organisational affiliation; separate from ownership-transfer detection</t>
  </si>
  <si>
    <t xml:space="preserve">New OPG-143</t>
  </si>
  <si>
    <t xml:space="preserve">OPG-144</t>
  </si>
  <si>
    <t xml:space="preserve">WS17 Supply Chain Defense Extended</t>
  </si>
  <si>
    <t xml:space="preserve">Static behavioral analysis of package source</t>
  </si>
  <si>
    <t xml:space="preserve">AST-level analysis for outbound network calls, child-process spawning, filesystem writes, env-var exfiltration, dynamic evaluation; typed signal per behavior; never execute the code</t>
  </si>
  <si>
    <t xml:space="preserve">New OPG-144</t>
  </si>
  <si>
    <t xml:space="preserve">OPG-145</t>
  </si>
  <si>
    <t xml:space="preserve">Phantom dependency detection</t>
  </si>
  <si>
    <t xml:space="preserve">Cross-reference static import analysis of user project against declared manifest; identify imports satisfied only by transitive or phantom packages</t>
  </si>
  <si>
    <t xml:space="preserve">New OPG-145</t>
  </si>
  <si>
    <t xml:space="preserve">OPG-146</t>
  </si>
  <si>
    <t xml:space="preserve">Source-artifact binding via reproducible builds</t>
  </si>
  <si>
    <t xml:space="preserve">Rebuild from declared source revision and compare digest to published artifact; report match, mismatch, or unverifiable with evidence</t>
  </si>
  <si>
    <t xml:space="preserve">New OPG-146</t>
  </si>
  <si>
    <t xml:space="preserve">OPG-147</t>
  </si>
  <si>
    <t xml:space="preserve">Adversarial namespace squatting detection</t>
  </si>
  <si>
    <t xml:space="preserve">Detect recently-registered packages (&lt;30 days) closely matching a popular package name with no prior publisher history; configurable confidence thresholds</t>
  </si>
  <si>
    <t xml:space="preserve">New OPG-147</t>
  </si>
  <si>
    <t xml:space="preserve">OPG-148</t>
  </si>
  <si>
    <t xml:space="preserve">WS18 Policy Engine Extended</t>
  </si>
  <si>
    <t xml:space="preserve">Cross-ecosystem vulnerability cascade modeling</t>
  </si>
  <si>
    <t xml:space="preserve">Model CVE propagation from foundational C/C++ libraries (OpenSSL, zlib, libcurl) to wrapper packages across npm, PyPI, Ruby, Maven; aggregate blast-radius score; ground-truth benchmark required</t>
  </si>
  <si>
    <t xml:space="preserve">New OPG-148 Research</t>
  </si>
  <si>
    <t xml:space="preserve">OPG-149</t>
  </si>
  <si>
    <t xml:space="preserve">WS19 Outputs &amp; Integrations Extended</t>
  </si>
  <si>
    <t xml:space="preserve">SBOM generation for analyzed project</t>
  </si>
  <si>
    <t xml:space="preserve">Produce CycloneDX 1.5 or SPDX 2.3 SBOM enriched with policy decisions, CVSS, EPSS, and license data; validate against official schema; attach to CI artifacts</t>
  </si>
  <si>
    <t xml:space="preserve">New OPG-149</t>
  </si>
  <si>
    <t xml:space="preserve">OPG-150</t>
  </si>
  <si>
    <t xml:space="preserve">Automated fix pull-request creation</t>
  </si>
  <si>
    <t xml:space="preserve">When safe upgrade identified and token configured, open dependency-update PR modifying manifest and lock file; PR body includes risk reduction summary</t>
  </si>
  <si>
    <t xml:space="preserve">New OPG-150</t>
  </si>
  <si>
    <t xml:space="preserve">OPG-151</t>
  </si>
  <si>
    <t xml:space="preserve">Container image and OS-package scanning</t>
  </si>
  <si>
    <t xml:space="preserve">Accept container image reference or OCI tarball; extract OS package database (dpkg/rpm/apk); scan through same evidence providers and policy engine; unified findings</t>
  </si>
  <si>
    <t xml:space="preserve">New OPG-151</t>
  </si>
  <si>
    <t xml:space="preserve">OPG-152</t>
  </si>
  <si>
    <t xml:space="preserve">Package proxy / registry firewall mode</t>
  </si>
  <si>
    <t xml:space="preserve">Operate as HTTPS proxy in front of public registry; evaluate policy before package enters build environment; block PROHIBITED packages; log all interceptions</t>
  </si>
  <si>
    <t xml:space="preserve">New OPG-152</t>
  </si>
  <si>
    <t xml:space="preserve">OPG-153</t>
  </si>
  <si>
    <t xml:space="preserve">WS20 Quality &amp; Compliance</t>
  </si>
  <si>
    <t xml:space="preserve">Compliance evidence packaging</t>
  </si>
  <si>
    <t xml:space="preserve">Exportable evidence bundles for SOC 2 Type II, FedRAMP, PCI-DSS; machine-readable JSON + Markdown; includes scan date, policy digest, findings, remediation status</t>
  </si>
  <si>
    <t xml:space="preserve">New OPG-153</t>
  </si>
  <si>
    <t xml:space="preserve">OPG-154</t>
  </si>
  <si>
    <t xml:space="preserve">WS21 Research</t>
  </si>
  <si>
    <t xml:space="preserve">LLM-assisted malicious pattern recognition</t>
  </si>
  <si>
    <t xml:space="preserve">Language model generates explanations for suspicious behaviors not covered by rule-based signals; calibrate against ground-truth corpus; publish precision/recall; no auto-enforcement without human review</t>
  </si>
  <si>
    <t xml:space="preserve">New OPG-154 Research</t>
  </si>
  <si>
    <t xml:space="preserve">OPG-155</t>
  </si>
  <si>
    <t xml:space="preserve">Runtime dependency inventory via instrumentation</t>
  </si>
  <si>
    <t xml:space="preserve">Discover packages loaded in running Python or Node.js process via import hooks or eBPF tracing; compare runtime inventory to manifest; surface undeclared dependencies</t>
  </si>
  <si>
    <t xml:space="preserve">New OPG-155 Research</t>
  </si>
  <si>
    <t xml:space="preserve">OPG-156</t>
  </si>
  <si>
    <t xml:space="preserve">IaC deployment context enrichment</t>
  </si>
  <si>
    <t xml:space="preserve">Parse Terraform, Helm, Kubernetes manifests to determine deployment exposure (internet-facing, internal, batch-only); pass context to blast-radius model for environment-adjusted risk scores</t>
  </si>
  <si>
    <t xml:space="preserve">New OPG-156 Research</t>
  </si>
  <si>
    <t xml:space="preserve">OPG-157</t>
  </si>
  <si>
    <t xml:space="preserve">Hierarchical team-scoped catalog with delegated administration</t>
  </si>
  <si>
    <t xml:space="preserve">BU security teams approve packages within enterprise policy envelope; application teams create scoped exceptions with rollup reporting; revocation cascades downward; all delegation actions in audit log</t>
  </si>
  <si>
    <t xml:space="preserve">New OPG-157</t>
  </si>
  <si>
    <t xml:space="preserve">Total Reqs</t>
  </si>
  <si>
    <t xml:space="preserve">Done</t>
  </si>
  <si>
    <t xml:space="preserve">In Progress</t>
  </si>
  <si>
    <t xml:space="preserve">Not Started</t>
  </si>
  <si>
    <t xml:space="preserve">OSSPolicyGuard — Phased Roadmap</t>
  </si>
  <si>
    <t xml:space="preserve">Phase</t>
  </si>
  <si>
    <t xml:space="preserve">Timeline</t>
  </si>
  <si>
    <t xml:space="preserve">Focus Area</t>
  </si>
  <si>
    <t xml:space="preserve">OPG Range</t>
  </si>
  <si>
    <t xml:space="preserve">Description</t>
  </si>
  <si>
    <t xml:space="preserve">Status / Notes</t>
  </si>
  <si>
    <t xml:space="preserve">Phase 1</t>
  </si>
  <si>
    <t xml:space="preserve">Current — Q3 2026</t>
  </si>
  <si>
    <t xml:space="preserve">Core Infrastructure</t>
  </si>
  <si>
    <t xml:space="preserve">OPG-001 to OPG-065</t>
  </si>
  <si>
    <t xml:space="preserve">Foundation, provider layer, CVE/OSV intelligence. Single-module app, configuration management, GitHub/NVD/OSV/registry integrations.</t>
  </si>
  <si>
    <t xml:space="preserve">Largely Complete — 64/65 Done; OPG-039 (GitLab/Bitbucket) deferred as P2</t>
  </si>
  <si>
    <t xml:space="preserve">Phase 2</t>
  </si>
  <si>
    <t xml:space="preserve">Q4 2026</t>
  </si>
  <si>
    <t xml:space="preserve">Scoring &amp; Policy Engine</t>
  </si>
  <si>
    <t xml:space="preserve">OPG-066 to OPG-132</t>
  </si>
  <si>
    <t xml:space="preserve">Scoring algorithms, approval logic, contributor geolocation, OpenSSF Scorecard, CLI, SARIF/Markdown reporting.</t>
  </si>
  <si>
    <t xml:space="preserve">Mostly Complete — 59/67 Done; 8 items Not Started (Maven, roadmap items, audit trail)</t>
  </si>
  <si>
    <t xml:space="preserve">Phase 3</t>
  </si>
  <si>
    <t xml:space="preserve">Q1 2027</t>
  </si>
  <si>
    <t xml:space="preserve">License &amp; Supply Chain</t>
  </si>
  <si>
    <t xml:space="preserve">OPG-133 to OPG-147</t>
  </si>
  <si>
    <t xml:space="preserve">License compliance (SPDX, copyleft, compatibility), dependency pinning enforcement, EOL tracking, supply chain defense (AST analysis, phantom deps, reproducible builds, namespace squatting).</t>
  </si>
  <si>
    <t xml:space="preserve">Not Started — Planned Q1 2027</t>
  </si>
  <si>
    <t xml:space="preserve">Phase 4</t>
  </si>
  <si>
    <t xml:space="preserve">Q2 2027</t>
  </si>
  <si>
    <t xml:space="preserve">Enterprise &amp; Integrations</t>
  </si>
  <si>
    <t xml:space="preserve">OPG-148 to OPG-153</t>
  </si>
  <si>
    <t xml:space="preserve">SBOM generation (CycloneDX/SPDX), automated fix PRs, container scanning, package proxy/firewall mode, compliance evidence packaging (SOC 2, FedRAMP, PCI-DSS).</t>
  </si>
  <si>
    <t xml:space="preserve">Not Started — Planned Q2 2027</t>
  </si>
  <si>
    <t xml:space="preserve">Phase 5</t>
  </si>
  <si>
    <t xml:space="preserve">2027+</t>
  </si>
  <si>
    <t xml:space="preserve">Research &amp; Advanced Features</t>
  </si>
  <si>
    <t xml:space="preserve">OPG-154 to OPG-157</t>
  </si>
  <si>
    <t xml:space="preserve">LLM-assisted malicious pattern recognition, runtime dependency instrumentation, IaC deployment context enrichment, hierarchical team-scoped catalog with delegated administration.</t>
  </si>
  <si>
    <t xml:space="preserve">Research Phase — Subject to feasibility studies</t>
  </si>
  <si>
    <t xml:space="preserve">P0 = Critical (must-have)   |   P1 = High Priority   |   P2 = Research / Future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</si>
</sst>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E2761"/>
      <name val="Arial"/>
      <family val="0"/>
      <charset val="1"/>
    </font>
    <font>
      <sz val="12"/>
      <color rgb="FF1E276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0"/>
      <color rgb="FF9C2B2B"/>
      <name val="Arial"/>
      <family val="0"/>
      <charset val="1"/>
    </font>
    <font>
      <b val="true"/>
      <sz val="13"/>
      <color rgb="FF9C2B2B"/>
      <name val="Arial"/>
      <family val="0"/>
      <charset val="1"/>
    </font>
    <font>
      <b val="true"/>
      <sz val="10"/>
      <color rgb="FF276221"/>
      <name val="Arial"/>
      <family val="0"/>
      <charset val="1"/>
    </font>
    <font>
      <b val="true"/>
      <sz val="13"/>
      <color rgb="FF276221"/>
      <name val="Arial"/>
      <family val="0"/>
      <charset val="1"/>
    </font>
    <font>
      <b val="true"/>
      <sz val="10"/>
      <color rgb="FF7B5C00"/>
      <name val="Arial"/>
      <family val="0"/>
      <charset val="1"/>
    </font>
    <font>
      <b val="true"/>
      <sz val="13"/>
      <color rgb="FF7B5C00"/>
      <name val="Arial"/>
      <family val="0"/>
      <charset val="1"/>
    </font>
    <font>
      <b val="true"/>
      <sz val="10"/>
      <color rgb="FF1F497D"/>
      <name val="Arial"/>
      <family val="0"/>
      <charset val="1"/>
    </font>
    <font>
      <b val="true"/>
      <sz val="13"/>
      <color rgb="FF1F497D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8"/>
      <color rgb="FF1E2761"/>
      <name val="Arial"/>
      <family val="0"/>
      <charset val="1"/>
    </font>
    <font>
      <b val="true"/>
      <sz val="11"/>
      <color rgb="FF1E2761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EEF2FB"/>
        <bgColor rgb="FFF0F0FF"/>
      </patternFill>
    </fill>
    <fill>
      <patternFill patternType="solid">
        <fgColor rgb="FF1E2761"/>
        <bgColor rgb="FF333333"/>
      </patternFill>
    </fill>
    <fill>
      <patternFill patternType="solid">
        <fgColor rgb="FFFFC7CE"/>
        <bgColor rgb="FFCCCCCC"/>
      </patternFill>
    </fill>
    <fill>
      <patternFill patternType="solid">
        <fgColor rgb="FFC6EFCE"/>
        <bgColor rgb="FFE8F4E8"/>
      </patternFill>
    </fill>
    <fill>
      <patternFill patternType="solid">
        <fgColor rgb="FFFFEB9C"/>
        <bgColor rgb="FFFFF8E7"/>
      </patternFill>
    </fill>
    <fill>
      <patternFill patternType="solid">
        <fgColor rgb="FFBDD7EE"/>
        <bgColor rgb="FFCCCCCC"/>
      </patternFill>
    </fill>
    <fill>
      <patternFill patternType="solid">
        <fgColor rgb="FFE8F4E8"/>
        <bgColor rgb="FFEEF2FB"/>
      </patternFill>
    </fill>
    <fill>
      <patternFill patternType="solid">
        <fgColor rgb="FFFFF8E7"/>
        <bgColor rgb="FFFFF0F0"/>
      </patternFill>
    </fill>
    <fill>
      <patternFill patternType="solid">
        <fgColor rgb="FFFFF0F0"/>
        <bgColor rgb="FFFFF8E7"/>
      </patternFill>
    </fill>
    <fill>
      <patternFill patternType="solid">
        <fgColor rgb="FFF0F0FF"/>
        <bgColor rgb="FFEEF2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1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11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76221"/>
      <rgbColor rgb="FF000080"/>
      <rgbColor rgb="FF7B5C00"/>
      <rgbColor rgb="FF800080"/>
      <rgbColor rgb="FF008080"/>
      <rgbColor rgb="FFCCCCCC"/>
      <rgbColor rgb="FF808080"/>
      <rgbColor rgb="FF9999FF"/>
      <rgbColor rgb="FF993366"/>
      <rgbColor rgb="FFFFF8E7"/>
      <rgbColor rgb="FFE8F4E8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B"/>
      <rgbColor rgb="FFC6EFCE"/>
      <rgbColor rgb="FFFFEB9C"/>
      <rgbColor rgb="FFF0F0FF"/>
      <rgbColor rgb="FFFFF0F0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E2761"/>
      <rgbColor rgb="FF339966"/>
      <rgbColor rgb="FF003300"/>
      <rgbColor rgb="FF333300"/>
      <rgbColor rgb="FF9C2B2B"/>
      <rgbColor rgb="FF993366"/>
      <rgbColor rgb="FF1F49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30"/>
    <col collapsed="false" customWidth="true" hidden="false" outlineLevel="0" max="6" min="6" style="0" width="22"/>
    <col collapsed="false" customWidth="true" hidden="false" outlineLevel="0" max="7" min="7" style="0" width="4"/>
  </cols>
  <sheetData>
    <row r="1" customFormat="false" ht="7.5" hidden="false" customHeight="true" outlineLevel="0" collapsed="false"/>
    <row r="2" customFormat="false" ht="37.5" hidden="false" customHeight="true" outlineLevel="0" collapsed="false">
      <c r="B2" s="1" t="s">
        <v>0</v>
      </c>
      <c r="C2" s="1"/>
      <c r="D2" s="1"/>
      <c r="E2" s="1"/>
      <c r="F2" s="1"/>
    </row>
    <row r="3" customFormat="false" ht="21.75" hidden="false" customHeight="true" outlineLevel="0" collapsed="false">
      <c r="B3" s="2" t="s">
        <v>1</v>
      </c>
      <c r="C3" s="2"/>
      <c r="D3" s="2"/>
      <c r="E3" s="2"/>
      <c r="F3" s="2"/>
    </row>
    <row r="4" customFormat="false" ht="19.5" hidden="false" customHeight="true" outlineLevel="0" collapsed="false">
      <c r="B4" s="3" t="s">
        <v>2</v>
      </c>
      <c r="C4" s="3"/>
      <c r="D4" s="3"/>
      <c r="E4" s="3"/>
      <c r="F4" s="3"/>
    </row>
    <row r="5" customFormat="false" ht="9.75" hidden="false" customHeight="true" outlineLevel="0" collapsed="false"/>
    <row r="6" customFormat="false" ht="9.75" hidden="false" customHeight="true" outlineLevel="0" collapsed="false"/>
    <row r="7" customFormat="false" ht="27.75" hidden="false" customHeight="true" outlineLevel="0" collapsed="false">
      <c r="B7" s="4" t="s">
        <v>3</v>
      </c>
      <c r="C7" s="4"/>
      <c r="E7" s="4" t="s">
        <v>4</v>
      </c>
      <c r="F7" s="4"/>
    </row>
    <row r="8" customFormat="false" ht="25.5" hidden="false" customHeight="true" outlineLevel="0" collapsed="false">
      <c r="B8" s="5" t="s">
        <v>5</v>
      </c>
      <c r="C8" s="6" t="n">
        <f aca="false">COUNTA(Requirements!A:A)-1</f>
        <v>157</v>
      </c>
      <c r="E8" s="7" t="s">
        <v>6</v>
      </c>
      <c r="F8" s="8" t="n">
        <f aca="false">COUNTIF(Requirements!D:D,"P0")</f>
        <v>113</v>
      </c>
    </row>
    <row r="9" customFormat="false" ht="25.5" hidden="false" customHeight="true" outlineLevel="0" collapsed="false">
      <c r="B9" s="9" t="s">
        <v>7</v>
      </c>
      <c r="C9" s="10" t="n">
        <f aca="false">COUNTIF(Requirements!E:E,"✅ Done")</f>
        <v>123</v>
      </c>
      <c r="E9" s="11" t="s">
        <v>8</v>
      </c>
      <c r="F9" s="12" t="n">
        <f aca="false">COUNTIF(Requirements!D:D,"P1")</f>
        <v>35</v>
      </c>
    </row>
    <row r="10" customFormat="false" ht="25.5" hidden="false" customHeight="true" outlineLevel="0" collapsed="false">
      <c r="B10" s="11" t="s">
        <v>9</v>
      </c>
      <c r="C10" s="12" t="n">
        <f aca="false">COUNTIF(Requirements!E:E,"🔄 In Progress")</f>
        <v>0</v>
      </c>
      <c r="E10" s="13" t="s">
        <v>10</v>
      </c>
      <c r="F10" s="14" t="n">
        <f aca="false">COUNTIF(Requirements!D:D,"P2")</f>
        <v>9</v>
      </c>
    </row>
    <row r="11" customFormat="false" ht="25.5" hidden="false" customHeight="true" outlineLevel="0" collapsed="false">
      <c r="B11" s="7" t="s">
        <v>11</v>
      </c>
      <c r="C11" s="8" t="n">
        <f aca="false">COUNTIF(Requirements!E:E,"❌ Not Started")</f>
        <v>34</v>
      </c>
      <c r="E11" s="15" t="s">
        <v>12</v>
      </c>
      <c r="F11" s="16" t="n">
        <f aca="false">COUNTIF(Requirements!E:E,"✅ Done")/(COUNTA(Requirements!A:A)-1)</f>
        <v>0.78343949044586</v>
      </c>
    </row>
    <row r="13" customFormat="false" ht="13.5" hidden="false" customHeight="true" outlineLevel="0" collapsed="false"/>
    <row r="14" customFormat="false" ht="25.5" hidden="false" customHeight="true" outlineLevel="0" collapsed="false">
      <c r="B14" s="17" t="s">
        <v>13</v>
      </c>
      <c r="C14" s="17"/>
      <c r="D14" s="17"/>
      <c r="E14" s="17"/>
      <c r="F14" s="17"/>
    </row>
  </sheetData>
  <mergeCells count="6">
    <mergeCell ref="B2:F2"/>
    <mergeCell ref="B3:F3"/>
    <mergeCell ref="B4:F4"/>
    <mergeCell ref="B7:C7"/>
    <mergeCell ref="E7:F7"/>
    <mergeCell ref="B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70"/>
    <col collapsed="false" customWidth="true" hidden="false" outlineLevel="0" max="7" min="7" style="0" width="35"/>
    <col collapsed="false" customWidth="true" hidden="false" outlineLevel="0" max="8" min="8" style="0" width="40"/>
  </cols>
  <sheetData>
    <row r="1" customFormat="false" ht="27.75" hidden="false" customHeight="true" outlineLevel="0" collapsed="false">
      <c r="A1" s="18" t="s">
        <v>14</v>
      </c>
      <c r="B1" s="18" t="s">
        <v>15</v>
      </c>
      <c r="C1" s="18" t="s">
        <v>16</v>
      </c>
      <c r="D1" s="18" t="s">
        <v>17</v>
      </c>
      <c r="E1" s="18" t="s">
        <v>18</v>
      </c>
      <c r="F1" s="18" t="s">
        <v>19</v>
      </c>
      <c r="G1" s="18" t="s">
        <v>20</v>
      </c>
      <c r="H1" s="18" t="s">
        <v>21</v>
      </c>
    </row>
    <row r="2" customFormat="false" ht="39.75" hidden="false" customHeight="true" outlineLevel="0" collapsed="false">
      <c r="A2" s="19" t="s">
        <v>22</v>
      </c>
      <c r="B2" s="19" t="s">
        <v>23</v>
      </c>
      <c r="C2" s="19" t="s">
        <v>24</v>
      </c>
      <c r="D2" s="20" t="s">
        <v>25</v>
      </c>
      <c r="E2" s="21" t="s">
        <v>26</v>
      </c>
      <c r="F2" s="19" t="s">
        <v>27</v>
      </c>
      <c r="G2" s="19" t="s">
        <v>28</v>
      </c>
      <c r="H2" s="19" t="s">
        <v>29</v>
      </c>
    </row>
    <row r="3" customFormat="false" ht="39.75" hidden="false" customHeight="true" outlineLevel="0" collapsed="false">
      <c r="A3" s="19" t="s">
        <v>30</v>
      </c>
      <c r="B3" s="19" t="s">
        <v>23</v>
      </c>
      <c r="C3" s="19" t="s">
        <v>31</v>
      </c>
      <c r="D3" s="20" t="s">
        <v>25</v>
      </c>
      <c r="E3" s="21" t="s">
        <v>26</v>
      </c>
      <c r="F3" s="19" t="s">
        <v>32</v>
      </c>
      <c r="G3" s="19" t="s">
        <v>28</v>
      </c>
      <c r="H3" s="19"/>
    </row>
    <row r="4" customFormat="false" ht="39.75" hidden="false" customHeight="true" outlineLevel="0" collapsed="false">
      <c r="A4" s="19" t="s">
        <v>33</v>
      </c>
      <c r="B4" s="19" t="s">
        <v>23</v>
      </c>
      <c r="C4" s="19" t="s">
        <v>34</v>
      </c>
      <c r="D4" s="20" t="s">
        <v>25</v>
      </c>
      <c r="E4" s="21" t="s">
        <v>26</v>
      </c>
      <c r="F4" s="19" t="s">
        <v>35</v>
      </c>
      <c r="G4" s="19" t="s">
        <v>36</v>
      </c>
      <c r="H4" s="19"/>
    </row>
    <row r="5" customFormat="false" ht="39.75" hidden="false" customHeight="true" outlineLevel="0" collapsed="false">
      <c r="A5" s="19" t="s">
        <v>37</v>
      </c>
      <c r="B5" s="19" t="s">
        <v>23</v>
      </c>
      <c r="C5" s="19" t="s">
        <v>38</v>
      </c>
      <c r="D5" s="20" t="s">
        <v>25</v>
      </c>
      <c r="E5" s="21" t="s">
        <v>26</v>
      </c>
      <c r="F5" s="19" t="s">
        <v>39</v>
      </c>
      <c r="G5" s="19" t="s">
        <v>36</v>
      </c>
      <c r="H5" s="19"/>
    </row>
    <row r="6" customFormat="false" ht="39.75" hidden="false" customHeight="true" outlineLevel="0" collapsed="false">
      <c r="A6" s="19" t="s">
        <v>40</v>
      </c>
      <c r="B6" s="19" t="s">
        <v>23</v>
      </c>
      <c r="C6" s="19" t="s">
        <v>41</v>
      </c>
      <c r="D6" s="20" t="s">
        <v>25</v>
      </c>
      <c r="E6" s="21" t="s">
        <v>26</v>
      </c>
      <c r="F6" s="19" t="s">
        <v>42</v>
      </c>
      <c r="G6" s="19" t="s">
        <v>36</v>
      </c>
      <c r="H6" s="19"/>
    </row>
    <row r="7" customFormat="false" ht="39.75" hidden="false" customHeight="true" outlineLevel="0" collapsed="false">
      <c r="A7" s="19" t="s">
        <v>43</v>
      </c>
      <c r="B7" s="19" t="s">
        <v>23</v>
      </c>
      <c r="C7" s="19" t="s">
        <v>44</v>
      </c>
      <c r="D7" s="20" t="s">
        <v>25</v>
      </c>
      <c r="E7" s="21" t="s">
        <v>26</v>
      </c>
      <c r="F7" s="19" t="s">
        <v>45</v>
      </c>
      <c r="G7" s="19" t="s">
        <v>36</v>
      </c>
      <c r="H7" s="19"/>
    </row>
    <row r="8" customFormat="false" ht="39.75" hidden="false" customHeight="true" outlineLevel="0" collapsed="false">
      <c r="A8" s="19" t="s">
        <v>46</v>
      </c>
      <c r="B8" s="19" t="s">
        <v>23</v>
      </c>
      <c r="C8" s="19" t="s">
        <v>47</v>
      </c>
      <c r="D8" s="20" t="s">
        <v>25</v>
      </c>
      <c r="E8" s="21" t="s">
        <v>26</v>
      </c>
      <c r="F8" s="19" t="s">
        <v>48</v>
      </c>
      <c r="G8" s="19" t="s">
        <v>28</v>
      </c>
      <c r="H8" s="19"/>
    </row>
    <row r="9" customFormat="false" ht="39.75" hidden="false" customHeight="true" outlineLevel="0" collapsed="false">
      <c r="A9" s="19" t="s">
        <v>49</v>
      </c>
      <c r="B9" s="19" t="s">
        <v>23</v>
      </c>
      <c r="C9" s="19" t="s">
        <v>50</v>
      </c>
      <c r="D9" s="20" t="s">
        <v>25</v>
      </c>
      <c r="E9" s="21" t="s">
        <v>26</v>
      </c>
      <c r="F9" s="19" t="s">
        <v>51</v>
      </c>
      <c r="G9" s="19" t="s">
        <v>28</v>
      </c>
      <c r="H9" s="19"/>
    </row>
    <row r="10" customFormat="false" ht="39.75" hidden="false" customHeight="true" outlineLevel="0" collapsed="false">
      <c r="A10" s="19" t="s">
        <v>52</v>
      </c>
      <c r="B10" s="19" t="s">
        <v>23</v>
      </c>
      <c r="C10" s="19" t="s">
        <v>53</v>
      </c>
      <c r="D10" s="22" t="s">
        <v>54</v>
      </c>
      <c r="E10" s="21" t="s">
        <v>26</v>
      </c>
      <c r="F10" s="19" t="s">
        <v>55</v>
      </c>
      <c r="G10" s="19" t="s">
        <v>28</v>
      </c>
      <c r="H10" s="19"/>
    </row>
    <row r="11" customFormat="false" ht="39.75" hidden="false" customHeight="true" outlineLevel="0" collapsed="false">
      <c r="A11" s="19" t="s">
        <v>56</v>
      </c>
      <c r="B11" s="19" t="s">
        <v>57</v>
      </c>
      <c r="C11" s="19" t="s">
        <v>58</v>
      </c>
      <c r="D11" s="20" t="s">
        <v>25</v>
      </c>
      <c r="E11" s="21" t="s">
        <v>26</v>
      </c>
      <c r="F11" s="19" t="s">
        <v>59</v>
      </c>
      <c r="G11" s="19" t="s">
        <v>28</v>
      </c>
      <c r="H11" s="19"/>
    </row>
    <row r="12" customFormat="false" ht="39.75" hidden="false" customHeight="true" outlineLevel="0" collapsed="false">
      <c r="A12" s="19" t="s">
        <v>60</v>
      </c>
      <c r="B12" s="19" t="s">
        <v>57</v>
      </c>
      <c r="C12" s="19" t="s">
        <v>61</v>
      </c>
      <c r="D12" s="20" t="s">
        <v>25</v>
      </c>
      <c r="E12" s="21" t="s">
        <v>26</v>
      </c>
      <c r="F12" s="19" t="s">
        <v>62</v>
      </c>
      <c r="G12" s="19" t="s">
        <v>28</v>
      </c>
      <c r="H12" s="19"/>
    </row>
    <row r="13" customFormat="false" ht="39.75" hidden="false" customHeight="true" outlineLevel="0" collapsed="false">
      <c r="A13" s="19" t="s">
        <v>63</v>
      </c>
      <c r="B13" s="19" t="s">
        <v>57</v>
      </c>
      <c r="C13" s="19" t="s">
        <v>64</v>
      </c>
      <c r="D13" s="20" t="s">
        <v>25</v>
      </c>
      <c r="E13" s="21" t="s">
        <v>26</v>
      </c>
      <c r="F13" s="19" t="s">
        <v>65</v>
      </c>
      <c r="G13" s="19" t="s">
        <v>28</v>
      </c>
      <c r="H13" s="19"/>
    </row>
    <row r="14" customFormat="false" ht="39.75" hidden="false" customHeight="true" outlineLevel="0" collapsed="false">
      <c r="A14" s="19" t="s">
        <v>66</v>
      </c>
      <c r="B14" s="19" t="s">
        <v>57</v>
      </c>
      <c r="C14" s="19" t="s">
        <v>67</v>
      </c>
      <c r="D14" s="20" t="s">
        <v>25</v>
      </c>
      <c r="E14" s="21" t="s">
        <v>26</v>
      </c>
      <c r="F14" s="19" t="s">
        <v>68</v>
      </c>
      <c r="G14" s="19" t="s">
        <v>28</v>
      </c>
      <c r="H14" s="19"/>
    </row>
    <row r="15" customFormat="false" ht="39.75" hidden="false" customHeight="true" outlineLevel="0" collapsed="false">
      <c r="A15" s="19" t="s">
        <v>69</v>
      </c>
      <c r="B15" s="19" t="s">
        <v>57</v>
      </c>
      <c r="C15" s="19" t="s">
        <v>70</v>
      </c>
      <c r="D15" s="20" t="s">
        <v>25</v>
      </c>
      <c r="E15" s="21" t="s">
        <v>26</v>
      </c>
      <c r="F15" s="19" t="s">
        <v>71</v>
      </c>
      <c r="G15" s="19" t="s">
        <v>28</v>
      </c>
      <c r="H15" s="19"/>
    </row>
    <row r="16" customFormat="false" ht="39.75" hidden="false" customHeight="true" outlineLevel="0" collapsed="false">
      <c r="A16" s="19" t="s">
        <v>72</v>
      </c>
      <c r="B16" s="19" t="s">
        <v>57</v>
      </c>
      <c r="C16" s="19" t="s">
        <v>73</v>
      </c>
      <c r="D16" s="20" t="s">
        <v>25</v>
      </c>
      <c r="E16" s="21" t="s">
        <v>26</v>
      </c>
      <c r="F16" s="19" t="s">
        <v>74</v>
      </c>
      <c r="G16" s="19" t="s">
        <v>28</v>
      </c>
      <c r="H16" s="19"/>
    </row>
    <row r="17" customFormat="false" ht="39.75" hidden="false" customHeight="true" outlineLevel="0" collapsed="false">
      <c r="A17" s="19" t="s">
        <v>75</v>
      </c>
      <c r="B17" s="19" t="s">
        <v>57</v>
      </c>
      <c r="C17" s="19" t="s">
        <v>76</v>
      </c>
      <c r="D17" s="20" t="s">
        <v>25</v>
      </c>
      <c r="E17" s="21" t="s">
        <v>26</v>
      </c>
      <c r="F17" s="19" t="s">
        <v>77</v>
      </c>
      <c r="G17" s="19" t="s">
        <v>28</v>
      </c>
      <c r="H17" s="19"/>
    </row>
    <row r="18" customFormat="false" ht="39.75" hidden="false" customHeight="true" outlineLevel="0" collapsed="false">
      <c r="A18" s="19" t="s">
        <v>78</v>
      </c>
      <c r="B18" s="19" t="s">
        <v>57</v>
      </c>
      <c r="C18" s="19" t="s">
        <v>79</v>
      </c>
      <c r="D18" s="20" t="s">
        <v>25</v>
      </c>
      <c r="E18" s="21" t="s">
        <v>26</v>
      </c>
      <c r="F18" s="19" t="s">
        <v>80</v>
      </c>
      <c r="G18" s="19" t="s">
        <v>28</v>
      </c>
      <c r="H18" s="19"/>
    </row>
    <row r="19" customFormat="false" ht="39.75" hidden="false" customHeight="true" outlineLevel="0" collapsed="false">
      <c r="A19" s="19" t="s">
        <v>81</v>
      </c>
      <c r="B19" s="19" t="s">
        <v>57</v>
      </c>
      <c r="C19" s="19" t="s">
        <v>82</v>
      </c>
      <c r="D19" s="20" t="s">
        <v>25</v>
      </c>
      <c r="E19" s="21" t="s">
        <v>26</v>
      </c>
      <c r="F19" s="19" t="s">
        <v>83</v>
      </c>
      <c r="G19" s="19" t="s">
        <v>28</v>
      </c>
      <c r="H19" s="19"/>
    </row>
    <row r="20" customFormat="false" ht="39.75" hidden="false" customHeight="true" outlineLevel="0" collapsed="false">
      <c r="A20" s="19" t="s">
        <v>84</v>
      </c>
      <c r="B20" s="19" t="s">
        <v>57</v>
      </c>
      <c r="C20" s="19" t="s">
        <v>85</v>
      </c>
      <c r="D20" s="20" t="s">
        <v>25</v>
      </c>
      <c r="E20" s="21" t="s">
        <v>26</v>
      </c>
      <c r="F20" s="19" t="s">
        <v>86</v>
      </c>
      <c r="G20" s="19" t="s">
        <v>28</v>
      </c>
      <c r="H20" s="19" t="s">
        <v>87</v>
      </c>
    </row>
    <row r="21" customFormat="false" ht="39.75" hidden="false" customHeight="true" outlineLevel="0" collapsed="false">
      <c r="A21" s="19" t="s">
        <v>88</v>
      </c>
      <c r="B21" s="19" t="s">
        <v>57</v>
      </c>
      <c r="C21" s="19" t="s">
        <v>89</v>
      </c>
      <c r="D21" s="20" t="s">
        <v>25</v>
      </c>
      <c r="E21" s="21" t="s">
        <v>26</v>
      </c>
      <c r="F21" s="19" t="s">
        <v>90</v>
      </c>
      <c r="G21" s="19" t="s">
        <v>28</v>
      </c>
      <c r="H21" s="19" t="s">
        <v>91</v>
      </c>
    </row>
    <row r="22" customFormat="false" ht="39.75" hidden="false" customHeight="true" outlineLevel="0" collapsed="false">
      <c r="A22" s="19" t="s">
        <v>92</v>
      </c>
      <c r="B22" s="19" t="s">
        <v>57</v>
      </c>
      <c r="C22" s="19" t="s">
        <v>93</v>
      </c>
      <c r="D22" s="20" t="s">
        <v>25</v>
      </c>
      <c r="E22" s="21" t="s">
        <v>26</v>
      </c>
      <c r="F22" s="19" t="s">
        <v>94</v>
      </c>
      <c r="G22" s="19" t="s">
        <v>28</v>
      </c>
      <c r="H22" s="19" t="s">
        <v>95</v>
      </c>
    </row>
    <row r="23" customFormat="false" ht="39.75" hidden="false" customHeight="true" outlineLevel="0" collapsed="false">
      <c r="A23" s="19" t="s">
        <v>96</v>
      </c>
      <c r="B23" s="19" t="s">
        <v>97</v>
      </c>
      <c r="C23" s="19" t="s">
        <v>98</v>
      </c>
      <c r="D23" s="20" t="s">
        <v>25</v>
      </c>
      <c r="E23" s="21" t="s">
        <v>26</v>
      </c>
      <c r="F23" s="19" t="s">
        <v>99</v>
      </c>
      <c r="G23" s="19" t="s">
        <v>28</v>
      </c>
      <c r="H23" s="19"/>
    </row>
    <row r="24" customFormat="false" ht="39.75" hidden="false" customHeight="true" outlineLevel="0" collapsed="false">
      <c r="A24" s="19" t="s">
        <v>100</v>
      </c>
      <c r="B24" s="19" t="s">
        <v>97</v>
      </c>
      <c r="C24" s="19" t="s">
        <v>101</v>
      </c>
      <c r="D24" s="20" t="s">
        <v>25</v>
      </c>
      <c r="E24" s="21" t="s">
        <v>26</v>
      </c>
      <c r="F24" s="19" t="s">
        <v>102</v>
      </c>
      <c r="G24" s="19" t="s">
        <v>28</v>
      </c>
      <c r="H24" s="19"/>
    </row>
    <row r="25" customFormat="false" ht="39.75" hidden="false" customHeight="true" outlineLevel="0" collapsed="false">
      <c r="A25" s="19" t="s">
        <v>103</v>
      </c>
      <c r="B25" s="19" t="s">
        <v>97</v>
      </c>
      <c r="C25" s="19" t="s">
        <v>104</v>
      </c>
      <c r="D25" s="20" t="s">
        <v>25</v>
      </c>
      <c r="E25" s="21" t="s">
        <v>26</v>
      </c>
      <c r="F25" s="19" t="s">
        <v>105</v>
      </c>
      <c r="G25" s="19" t="s">
        <v>28</v>
      </c>
      <c r="H25" s="19"/>
    </row>
    <row r="26" customFormat="false" ht="39.75" hidden="false" customHeight="true" outlineLevel="0" collapsed="false">
      <c r="A26" s="19" t="s">
        <v>106</v>
      </c>
      <c r="B26" s="19" t="s">
        <v>97</v>
      </c>
      <c r="C26" s="19" t="s">
        <v>107</v>
      </c>
      <c r="D26" s="20" t="s">
        <v>25</v>
      </c>
      <c r="E26" s="21" t="s">
        <v>26</v>
      </c>
      <c r="F26" s="19" t="s">
        <v>108</v>
      </c>
      <c r="G26" s="19" t="s">
        <v>28</v>
      </c>
      <c r="H26" s="19"/>
    </row>
    <row r="27" customFormat="false" ht="39.75" hidden="false" customHeight="true" outlineLevel="0" collapsed="false">
      <c r="A27" s="19" t="s">
        <v>109</v>
      </c>
      <c r="B27" s="19" t="s">
        <v>97</v>
      </c>
      <c r="C27" s="19" t="s">
        <v>110</v>
      </c>
      <c r="D27" s="20" t="s">
        <v>25</v>
      </c>
      <c r="E27" s="21" t="s">
        <v>26</v>
      </c>
      <c r="F27" s="19" t="s">
        <v>111</v>
      </c>
      <c r="G27" s="19" t="s">
        <v>28</v>
      </c>
      <c r="H27" s="19"/>
    </row>
    <row r="28" customFormat="false" ht="39.75" hidden="false" customHeight="true" outlineLevel="0" collapsed="false">
      <c r="A28" s="19" t="s">
        <v>112</v>
      </c>
      <c r="B28" s="19" t="s">
        <v>97</v>
      </c>
      <c r="C28" s="19" t="s">
        <v>113</v>
      </c>
      <c r="D28" s="20" t="s">
        <v>25</v>
      </c>
      <c r="E28" s="21" t="s">
        <v>26</v>
      </c>
      <c r="F28" s="19" t="s">
        <v>114</v>
      </c>
      <c r="G28" s="19" t="s">
        <v>28</v>
      </c>
      <c r="H28" s="19"/>
    </row>
    <row r="29" customFormat="false" ht="39.75" hidden="false" customHeight="true" outlineLevel="0" collapsed="false">
      <c r="A29" s="19" t="s">
        <v>115</v>
      </c>
      <c r="B29" s="19" t="s">
        <v>97</v>
      </c>
      <c r="C29" s="19" t="s">
        <v>116</v>
      </c>
      <c r="D29" s="20" t="s">
        <v>25</v>
      </c>
      <c r="E29" s="21" t="s">
        <v>26</v>
      </c>
      <c r="F29" s="19" t="s">
        <v>117</v>
      </c>
      <c r="G29" s="19" t="s">
        <v>28</v>
      </c>
      <c r="H29" s="19"/>
    </row>
    <row r="30" customFormat="false" ht="39.75" hidden="false" customHeight="true" outlineLevel="0" collapsed="false">
      <c r="A30" s="19" t="s">
        <v>118</v>
      </c>
      <c r="B30" s="19" t="s">
        <v>119</v>
      </c>
      <c r="C30" s="19" t="s">
        <v>120</v>
      </c>
      <c r="D30" s="20" t="s">
        <v>25</v>
      </c>
      <c r="E30" s="21" t="s">
        <v>26</v>
      </c>
      <c r="F30" s="19" t="s">
        <v>121</v>
      </c>
      <c r="G30" s="19" t="s">
        <v>28</v>
      </c>
      <c r="H30" s="19"/>
    </row>
    <row r="31" customFormat="false" ht="39.75" hidden="false" customHeight="true" outlineLevel="0" collapsed="false">
      <c r="A31" s="19" t="s">
        <v>122</v>
      </c>
      <c r="B31" s="19" t="s">
        <v>119</v>
      </c>
      <c r="C31" s="19" t="s">
        <v>123</v>
      </c>
      <c r="D31" s="20" t="s">
        <v>25</v>
      </c>
      <c r="E31" s="21" t="s">
        <v>26</v>
      </c>
      <c r="F31" s="19" t="s">
        <v>124</v>
      </c>
      <c r="G31" s="19" t="s">
        <v>28</v>
      </c>
      <c r="H31" s="19"/>
    </row>
    <row r="32" customFormat="false" ht="39.75" hidden="false" customHeight="true" outlineLevel="0" collapsed="false">
      <c r="A32" s="19" t="s">
        <v>125</v>
      </c>
      <c r="B32" s="19" t="s">
        <v>119</v>
      </c>
      <c r="C32" s="19" t="s">
        <v>126</v>
      </c>
      <c r="D32" s="20" t="s">
        <v>25</v>
      </c>
      <c r="E32" s="21" t="s">
        <v>26</v>
      </c>
      <c r="F32" s="19" t="s">
        <v>127</v>
      </c>
      <c r="G32" s="19" t="s">
        <v>28</v>
      </c>
      <c r="H32" s="19"/>
    </row>
    <row r="33" customFormat="false" ht="39.75" hidden="false" customHeight="true" outlineLevel="0" collapsed="false">
      <c r="A33" s="19" t="s">
        <v>128</v>
      </c>
      <c r="B33" s="19" t="s">
        <v>119</v>
      </c>
      <c r="C33" s="19" t="s">
        <v>129</v>
      </c>
      <c r="D33" s="20" t="s">
        <v>25</v>
      </c>
      <c r="E33" s="21" t="s">
        <v>26</v>
      </c>
      <c r="F33" s="19" t="s">
        <v>130</v>
      </c>
      <c r="G33" s="19" t="s">
        <v>28</v>
      </c>
      <c r="H33" s="19"/>
    </row>
    <row r="34" customFormat="false" ht="39.75" hidden="false" customHeight="true" outlineLevel="0" collapsed="false">
      <c r="A34" s="19" t="s">
        <v>131</v>
      </c>
      <c r="B34" s="19" t="s">
        <v>119</v>
      </c>
      <c r="C34" s="19" t="s">
        <v>132</v>
      </c>
      <c r="D34" s="20" t="s">
        <v>25</v>
      </c>
      <c r="E34" s="21" t="s">
        <v>26</v>
      </c>
      <c r="F34" s="19" t="s">
        <v>133</v>
      </c>
      <c r="G34" s="19" t="s">
        <v>28</v>
      </c>
      <c r="H34" s="19"/>
    </row>
    <row r="35" customFormat="false" ht="39.75" hidden="false" customHeight="true" outlineLevel="0" collapsed="false">
      <c r="A35" s="19" t="s">
        <v>134</v>
      </c>
      <c r="B35" s="19" t="s">
        <v>119</v>
      </c>
      <c r="C35" s="19" t="s">
        <v>135</v>
      </c>
      <c r="D35" s="20" t="s">
        <v>25</v>
      </c>
      <c r="E35" s="21" t="s">
        <v>26</v>
      </c>
      <c r="F35" s="19" t="s">
        <v>136</v>
      </c>
      <c r="G35" s="19" t="s">
        <v>28</v>
      </c>
      <c r="H35" s="19"/>
    </row>
    <row r="36" customFormat="false" ht="39.75" hidden="false" customHeight="true" outlineLevel="0" collapsed="false">
      <c r="A36" s="19" t="s">
        <v>137</v>
      </c>
      <c r="B36" s="19" t="s">
        <v>119</v>
      </c>
      <c r="C36" s="19" t="s">
        <v>138</v>
      </c>
      <c r="D36" s="20" t="s">
        <v>25</v>
      </c>
      <c r="E36" s="21" t="s">
        <v>26</v>
      </c>
      <c r="F36" s="19" t="s">
        <v>139</v>
      </c>
      <c r="G36" s="19" t="s">
        <v>28</v>
      </c>
      <c r="H36" s="19"/>
    </row>
    <row r="37" customFormat="false" ht="39.75" hidden="false" customHeight="true" outlineLevel="0" collapsed="false">
      <c r="A37" s="19" t="s">
        <v>140</v>
      </c>
      <c r="B37" s="19" t="s">
        <v>119</v>
      </c>
      <c r="C37" s="19" t="s">
        <v>141</v>
      </c>
      <c r="D37" s="22" t="s">
        <v>54</v>
      </c>
      <c r="E37" s="21" t="s">
        <v>26</v>
      </c>
      <c r="F37" s="19" t="s">
        <v>142</v>
      </c>
      <c r="G37" s="19" t="s">
        <v>28</v>
      </c>
      <c r="H37" s="19"/>
    </row>
    <row r="38" customFormat="false" ht="39.75" hidden="false" customHeight="true" outlineLevel="0" collapsed="false">
      <c r="A38" s="19" t="s">
        <v>143</v>
      </c>
      <c r="B38" s="19" t="s">
        <v>119</v>
      </c>
      <c r="C38" s="19" t="s">
        <v>144</v>
      </c>
      <c r="D38" s="22" t="s">
        <v>54</v>
      </c>
      <c r="E38" s="21" t="s">
        <v>26</v>
      </c>
      <c r="F38" s="19" t="s">
        <v>145</v>
      </c>
      <c r="G38" s="19" t="s">
        <v>28</v>
      </c>
      <c r="H38" s="19"/>
    </row>
    <row r="39" customFormat="false" ht="39.75" hidden="false" customHeight="true" outlineLevel="0" collapsed="false">
      <c r="A39" s="19" t="s">
        <v>146</v>
      </c>
      <c r="B39" s="19" t="s">
        <v>119</v>
      </c>
      <c r="C39" s="19" t="s">
        <v>147</v>
      </c>
      <c r="D39" s="20" t="s">
        <v>25</v>
      </c>
      <c r="E39" s="21" t="s">
        <v>26</v>
      </c>
      <c r="F39" s="19" t="s">
        <v>148</v>
      </c>
      <c r="G39" s="19" t="s">
        <v>28</v>
      </c>
      <c r="H39" s="19"/>
    </row>
    <row r="40" customFormat="false" ht="39.75" hidden="false" customHeight="true" outlineLevel="0" collapsed="false">
      <c r="A40" s="19" t="s">
        <v>149</v>
      </c>
      <c r="B40" s="19" t="s">
        <v>119</v>
      </c>
      <c r="C40" s="19" t="s">
        <v>150</v>
      </c>
      <c r="D40" s="23" t="s">
        <v>151</v>
      </c>
      <c r="E40" s="24" t="s">
        <v>152</v>
      </c>
      <c r="F40" s="19" t="s">
        <v>153</v>
      </c>
      <c r="G40" s="19"/>
      <c r="H40" s="19"/>
    </row>
    <row r="41" customFormat="false" ht="39.75" hidden="false" customHeight="true" outlineLevel="0" collapsed="false">
      <c r="A41" s="19" t="s">
        <v>154</v>
      </c>
      <c r="B41" s="19" t="s">
        <v>155</v>
      </c>
      <c r="C41" s="19" t="s">
        <v>156</v>
      </c>
      <c r="D41" s="20" t="s">
        <v>25</v>
      </c>
      <c r="E41" s="21" t="s">
        <v>26</v>
      </c>
      <c r="F41" s="19" t="s">
        <v>157</v>
      </c>
      <c r="G41" s="19" t="s">
        <v>28</v>
      </c>
      <c r="H41" s="19"/>
    </row>
    <row r="42" customFormat="false" ht="39.75" hidden="false" customHeight="true" outlineLevel="0" collapsed="false">
      <c r="A42" s="19" t="s">
        <v>158</v>
      </c>
      <c r="B42" s="19" t="s">
        <v>155</v>
      </c>
      <c r="C42" s="19" t="s">
        <v>159</v>
      </c>
      <c r="D42" s="20" t="s">
        <v>25</v>
      </c>
      <c r="E42" s="21" t="s">
        <v>26</v>
      </c>
      <c r="F42" s="19" t="s">
        <v>160</v>
      </c>
      <c r="G42" s="19" t="s">
        <v>28</v>
      </c>
      <c r="H42" s="19"/>
    </row>
    <row r="43" customFormat="false" ht="39.75" hidden="false" customHeight="true" outlineLevel="0" collapsed="false">
      <c r="A43" s="19" t="s">
        <v>161</v>
      </c>
      <c r="B43" s="19" t="s">
        <v>155</v>
      </c>
      <c r="C43" s="19" t="s">
        <v>162</v>
      </c>
      <c r="D43" s="20" t="s">
        <v>25</v>
      </c>
      <c r="E43" s="21" t="s">
        <v>26</v>
      </c>
      <c r="F43" s="19" t="s">
        <v>163</v>
      </c>
      <c r="G43" s="19" t="s">
        <v>28</v>
      </c>
      <c r="H43" s="19"/>
    </row>
    <row r="44" customFormat="false" ht="39.75" hidden="false" customHeight="true" outlineLevel="0" collapsed="false">
      <c r="A44" s="19" t="s">
        <v>164</v>
      </c>
      <c r="B44" s="19" t="s">
        <v>155</v>
      </c>
      <c r="C44" s="19" t="s">
        <v>165</v>
      </c>
      <c r="D44" s="20" t="s">
        <v>25</v>
      </c>
      <c r="E44" s="21" t="s">
        <v>26</v>
      </c>
      <c r="F44" s="19" t="s">
        <v>166</v>
      </c>
      <c r="G44" s="19" t="s">
        <v>28</v>
      </c>
      <c r="H44" s="19"/>
    </row>
    <row r="45" customFormat="false" ht="39.75" hidden="false" customHeight="true" outlineLevel="0" collapsed="false">
      <c r="A45" s="19" t="s">
        <v>167</v>
      </c>
      <c r="B45" s="19" t="s">
        <v>155</v>
      </c>
      <c r="C45" s="19" t="s">
        <v>168</v>
      </c>
      <c r="D45" s="20" t="s">
        <v>25</v>
      </c>
      <c r="E45" s="21" t="s">
        <v>26</v>
      </c>
      <c r="F45" s="19" t="s">
        <v>169</v>
      </c>
      <c r="G45" s="19" t="s">
        <v>28</v>
      </c>
      <c r="H45" s="19"/>
    </row>
    <row r="46" customFormat="false" ht="39.75" hidden="false" customHeight="true" outlineLevel="0" collapsed="false">
      <c r="A46" s="19" t="s">
        <v>170</v>
      </c>
      <c r="B46" s="19" t="s">
        <v>155</v>
      </c>
      <c r="C46" s="19" t="s">
        <v>171</v>
      </c>
      <c r="D46" s="20" t="s">
        <v>25</v>
      </c>
      <c r="E46" s="21" t="s">
        <v>26</v>
      </c>
      <c r="F46" s="19" t="s">
        <v>172</v>
      </c>
      <c r="G46" s="19" t="s">
        <v>28</v>
      </c>
      <c r="H46" s="19"/>
    </row>
    <row r="47" customFormat="false" ht="39.75" hidden="false" customHeight="true" outlineLevel="0" collapsed="false">
      <c r="A47" s="19" t="s">
        <v>173</v>
      </c>
      <c r="B47" s="19" t="s">
        <v>155</v>
      </c>
      <c r="C47" s="19" t="s">
        <v>174</v>
      </c>
      <c r="D47" s="20" t="s">
        <v>25</v>
      </c>
      <c r="E47" s="21" t="s">
        <v>26</v>
      </c>
      <c r="F47" s="19" t="s">
        <v>175</v>
      </c>
      <c r="G47" s="19" t="s">
        <v>28</v>
      </c>
      <c r="H47" s="19"/>
    </row>
    <row r="48" customFormat="false" ht="39.75" hidden="false" customHeight="true" outlineLevel="0" collapsed="false">
      <c r="A48" s="19" t="s">
        <v>176</v>
      </c>
      <c r="B48" s="19" t="s">
        <v>155</v>
      </c>
      <c r="C48" s="19" t="s">
        <v>177</v>
      </c>
      <c r="D48" s="20" t="s">
        <v>25</v>
      </c>
      <c r="E48" s="21" t="s">
        <v>26</v>
      </c>
      <c r="F48" s="19" t="s">
        <v>178</v>
      </c>
      <c r="G48" s="19" t="s">
        <v>28</v>
      </c>
      <c r="H48" s="19"/>
    </row>
    <row r="49" customFormat="false" ht="39.75" hidden="false" customHeight="true" outlineLevel="0" collapsed="false">
      <c r="A49" s="19" t="s">
        <v>179</v>
      </c>
      <c r="B49" s="19" t="s">
        <v>155</v>
      </c>
      <c r="C49" s="19" t="s">
        <v>180</v>
      </c>
      <c r="D49" s="20" t="s">
        <v>25</v>
      </c>
      <c r="E49" s="21" t="s">
        <v>26</v>
      </c>
      <c r="F49" s="19" t="s">
        <v>181</v>
      </c>
      <c r="G49" s="19" t="s">
        <v>28</v>
      </c>
      <c r="H49" s="19"/>
    </row>
    <row r="50" customFormat="false" ht="39.75" hidden="false" customHeight="true" outlineLevel="0" collapsed="false">
      <c r="A50" s="19" t="s">
        <v>182</v>
      </c>
      <c r="B50" s="19" t="s">
        <v>155</v>
      </c>
      <c r="C50" s="19" t="s">
        <v>183</v>
      </c>
      <c r="D50" s="20" t="s">
        <v>25</v>
      </c>
      <c r="E50" s="21" t="s">
        <v>26</v>
      </c>
      <c r="F50" s="19" t="s">
        <v>184</v>
      </c>
      <c r="G50" s="19" t="s">
        <v>28</v>
      </c>
      <c r="H50" s="19"/>
    </row>
    <row r="51" customFormat="false" ht="39.75" hidden="false" customHeight="true" outlineLevel="0" collapsed="false">
      <c r="A51" s="19" t="s">
        <v>185</v>
      </c>
      <c r="B51" s="19" t="s">
        <v>155</v>
      </c>
      <c r="C51" s="19" t="s">
        <v>186</v>
      </c>
      <c r="D51" s="20" t="s">
        <v>25</v>
      </c>
      <c r="E51" s="21" t="s">
        <v>26</v>
      </c>
      <c r="F51" s="19" t="s">
        <v>187</v>
      </c>
      <c r="G51" s="19" t="s">
        <v>28</v>
      </c>
      <c r="H51" s="19"/>
    </row>
    <row r="52" customFormat="false" ht="39.75" hidden="false" customHeight="true" outlineLevel="0" collapsed="false">
      <c r="A52" s="19" t="s">
        <v>188</v>
      </c>
      <c r="B52" s="19" t="s">
        <v>155</v>
      </c>
      <c r="C52" s="19" t="s">
        <v>189</v>
      </c>
      <c r="D52" s="20" t="s">
        <v>25</v>
      </c>
      <c r="E52" s="21" t="s">
        <v>26</v>
      </c>
      <c r="F52" s="19" t="s">
        <v>190</v>
      </c>
      <c r="G52" s="19" t="s">
        <v>28</v>
      </c>
      <c r="H52" s="19"/>
    </row>
    <row r="53" customFormat="false" ht="39.75" hidden="false" customHeight="true" outlineLevel="0" collapsed="false">
      <c r="A53" s="19" t="s">
        <v>191</v>
      </c>
      <c r="B53" s="19" t="s">
        <v>155</v>
      </c>
      <c r="C53" s="19" t="s">
        <v>192</v>
      </c>
      <c r="D53" s="20" t="s">
        <v>25</v>
      </c>
      <c r="E53" s="21" t="s">
        <v>26</v>
      </c>
      <c r="F53" s="19" t="s">
        <v>193</v>
      </c>
      <c r="G53" s="19" t="s">
        <v>28</v>
      </c>
      <c r="H53" s="19"/>
    </row>
    <row r="54" customFormat="false" ht="39.75" hidden="false" customHeight="true" outlineLevel="0" collapsed="false">
      <c r="A54" s="19" t="s">
        <v>194</v>
      </c>
      <c r="B54" s="19" t="s">
        <v>155</v>
      </c>
      <c r="C54" s="19" t="s">
        <v>195</v>
      </c>
      <c r="D54" s="20" t="s">
        <v>25</v>
      </c>
      <c r="E54" s="21" t="s">
        <v>26</v>
      </c>
      <c r="F54" s="19" t="s">
        <v>196</v>
      </c>
      <c r="G54" s="19" t="s">
        <v>28</v>
      </c>
      <c r="H54" s="19"/>
    </row>
    <row r="55" customFormat="false" ht="39.75" hidden="false" customHeight="true" outlineLevel="0" collapsed="false">
      <c r="A55" s="19" t="s">
        <v>197</v>
      </c>
      <c r="B55" s="19" t="s">
        <v>155</v>
      </c>
      <c r="C55" s="19" t="s">
        <v>198</v>
      </c>
      <c r="D55" s="20" t="s">
        <v>25</v>
      </c>
      <c r="E55" s="21" t="s">
        <v>26</v>
      </c>
      <c r="F55" s="19" t="s">
        <v>199</v>
      </c>
      <c r="G55" s="19" t="s">
        <v>28</v>
      </c>
      <c r="H55" s="19"/>
    </row>
    <row r="56" customFormat="false" ht="39.75" hidden="false" customHeight="true" outlineLevel="0" collapsed="false">
      <c r="A56" s="19" t="s">
        <v>200</v>
      </c>
      <c r="B56" s="19" t="s">
        <v>155</v>
      </c>
      <c r="C56" s="19" t="s">
        <v>201</v>
      </c>
      <c r="D56" s="20" t="s">
        <v>25</v>
      </c>
      <c r="E56" s="21" t="s">
        <v>26</v>
      </c>
      <c r="F56" s="19" t="s">
        <v>202</v>
      </c>
      <c r="G56" s="19" t="s">
        <v>28</v>
      </c>
      <c r="H56" s="19"/>
    </row>
    <row r="57" customFormat="false" ht="39.75" hidden="false" customHeight="true" outlineLevel="0" collapsed="false">
      <c r="A57" s="19" t="s">
        <v>203</v>
      </c>
      <c r="B57" s="19" t="s">
        <v>204</v>
      </c>
      <c r="C57" s="19" t="s">
        <v>205</v>
      </c>
      <c r="D57" s="20" t="s">
        <v>25</v>
      </c>
      <c r="E57" s="21" t="s">
        <v>26</v>
      </c>
      <c r="F57" s="19" t="s">
        <v>206</v>
      </c>
      <c r="G57" s="19" t="s">
        <v>207</v>
      </c>
      <c r="H57" s="19"/>
    </row>
    <row r="58" customFormat="false" ht="39.75" hidden="false" customHeight="true" outlineLevel="0" collapsed="false">
      <c r="A58" s="19" t="s">
        <v>208</v>
      </c>
      <c r="B58" s="19" t="s">
        <v>204</v>
      </c>
      <c r="C58" s="19" t="s">
        <v>209</v>
      </c>
      <c r="D58" s="20" t="s">
        <v>25</v>
      </c>
      <c r="E58" s="21" t="s">
        <v>26</v>
      </c>
      <c r="F58" s="19" t="s">
        <v>210</v>
      </c>
      <c r="G58" s="19" t="s">
        <v>207</v>
      </c>
      <c r="H58" s="19"/>
    </row>
    <row r="59" customFormat="false" ht="39.75" hidden="false" customHeight="true" outlineLevel="0" collapsed="false">
      <c r="A59" s="19" t="s">
        <v>211</v>
      </c>
      <c r="B59" s="19" t="s">
        <v>204</v>
      </c>
      <c r="C59" s="19" t="s">
        <v>212</v>
      </c>
      <c r="D59" s="20" t="s">
        <v>25</v>
      </c>
      <c r="E59" s="21" t="s">
        <v>26</v>
      </c>
      <c r="F59" s="19" t="s">
        <v>213</v>
      </c>
      <c r="G59" s="19" t="s">
        <v>28</v>
      </c>
      <c r="H59" s="19"/>
    </row>
    <row r="60" customFormat="false" ht="39.75" hidden="false" customHeight="true" outlineLevel="0" collapsed="false">
      <c r="A60" s="19" t="s">
        <v>214</v>
      </c>
      <c r="B60" s="19" t="s">
        <v>204</v>
      </c>
      <c r="C60" s="19" t="s">
        <v>215</v>
      </c>
      <c r="D60" s="20" t="s">
        <v>25</v>
      </c>
      <c r="E60" s="21" t="s">
        <v>26</v>
      </c>
      <c r="F60" s="19" t="s">
        <v>216</v>
      </c>
      <c r="G60" s="19" t="s">
        <v>207</v>
      </c>
      <c r="H60" s="19"/>
    </row>
    <row r="61" customFormat="false" ht="39.75" hidden="false" customHeight="true" outlineLevel="0" collapsed="false">
      <c r="A61" s="19" t="s">
        <v>217</v>
      </c>
      <c r="B61" s="19" t="s">
        <v>204</v>
      </c>
      <c r="C61" s="19" t="s">
        <v>218</v>
      </c>
      <c r="D61" s="20" t="s">
        <v>25</v>
      </c>
      <c r="E61" s="21" t="s">
        <v>26</v>
      </c>
      <c r="F61" s="19" t="s">
        <v>219</v>
      </c>
      <c r="G61" s="19" t="s">
        <v>28</v>
      </c>
      <c r="H61" s="19"/>
    </row>
    <row r="62" customFormat="false" ht="39.75" hidden="false" customHeight="true" outlineLevel="0" collapsed="false">
      <c r="A62" s="19" t="s">
        <v>220</v>
      </c>
      <c r="B62" s="19" t="s">
        <v>204</v>
      </c>
      <c r="C62" s="19" t="s">
        <v>221</v>
      </c>
      <c r="D62" s="20" t="s">
        <v>25</v>
      </c>
      <c r="E62" s="21" t="s">
        <v>26</v>
      </c>
      <c r="F62" s="19" t="s">
        <v>222</v>
      </c>
      <c r="G62" s="19" t="s">
        <v>28</v>
      </c>
      <c r="H62" s="19"/>
    </row>
    <row r="63" customFormat="false" ht="39.75" hidden="false" customHeight="true" outlineLevel="0" collapsed="false">
      <c r="A63" s="19" t="s">
        <v>223</v>
      </c>
      <c r="B63" s="19" t="s">
        <v>204</v>
      </c>
      <c r="C63" s="19" t="s">
        <v>224</v>
      </c>
      <c r="D63" s="20" t="s">
        <v>25</v>
      </c>
      <c r="E63" s="21" t="s">
        <v>26</v>
      </c>
      <c r="F63" s="19" t="s">
        <v>225</v>
      </c>
      <c r="G63" s="19" t="s">
        <v>28</v>
      </c>
      <c r="H63" s="19"/>
    </row>
    <row r="64" customFormat="false" ht="39.75" hidden="false" customHeight="true" outlineLevel="0" collapsed="false">
      <c r="A64" s="19" t="s">
        <v>226</v>
      </c>
      <c r="B64" s="19" t="s">
        <v>204</v>
      </c>
      <c r="C64" s="19" t="s">
        <v>227</v>
      </c>
      <c r="D64" s="20" t="s">
        <v>25</v>
      </c>
      <c r="E64" s="21" t="s">
        <v>26</v>
      </c>
      <c r="F64" s="19" t="s">
        <v>228</v>
      </c>
      <c r="G64" s="19" t="s">
        <v>28</v>
      </c>
      <c r="H64" s="19"/>
    </row>
    <row r="65" customFormat="false" ht="39.75" hidden="false" customHeight="true" outlineLevel="0" collapsed="false">
      <c r="A65" s="19" t="s">
        <v>229</v>
      </c>
      <c r="B65" s="19" t="s">
        <v>204</v>
      </c>
      <c r="C65" s="19" t="s">
        <v>230</v>
      </c>
      <c r="D65" s="20" t="s">
        <v>25</v>
      </c>
      <c r="E65" s="21" t="s">
        <v>26</v>
      </c>
      <c r="F65" s="19" t="s">
        <v>231</v>
      </c>
      <c r="G65" s="19" t="s">
        <v>28</v>
      </c>
      <c r="H65" s="19"/>
    </row>
    <row r="66" customFormat="false" ht="39.75" hidden="false" customHeight="true" outlineLevel="0" collapsed="false">
      <c r="A66" s="19" t="s">
        <v>232</v>
      </c>
      <c r="B66" s="19" t="s">
        <v>233</v>
      </c>
      <c r="C66" s="19" t="s">
        <v>234</v>
      </c>
      <c r="D66" s="20" t="s">
        <v>25</v>
      </c>
      <c r="E66" s="21" t="s">
        <v>26</v>
      </c>
      <c r="F66" s="19" t="s">
        <v>235</v>
      </c>
      <c r="G66" s="19" t="s">
        <v>28</v>
      </c>
      <c r="H66" s="19"/>
    </row>
    <row r="67" customFormat="false" ht="39.75" hidden="false" customHeight="true" outlineLevel="0" collapsed="false">
      <c r="A67" s="19" t="s">
        <v>236</v>
      </c>
      <c r="B67" s="19" t="s">
        <v>233</v>
      </c>
      <c r="C67" s="19" t="s">
        <v>237</v>
      </c>
      <c r="D67" s="20" t="s">
        <v>25</v>
      </c>
      <c r="E67" s="21" t="s">
        <v>26</v>
      </c>
      <c r="F67" s="19" t="s">
        <v>238</v>
      </c>
      <c r="G67" s="19" t="s">
        <v>28</v>
      </c>
      <c r="H67" s="19"/>
    </row>
    <row r="68" customFormat="false" ht="39.75" hidden="false" customHeight="true" outlineLevel="0" collapsed="false">
      <c r="A68" s="19" t="s">
        <v>239</v>
      </c>
      <c r="B68" s="19" t="s">
        <v>233</v>
      </c>
      <c r="C68" s="19" t="s">
        <v>240</v>
      </c>
      <c r="D68" s="20" t="s">
        <v>25</v>
      </c>
      <c r="E68" s="21" t="s">
        <v>26</v>
      </c>
      <c r="F68" s="19" t="s">
        <v>241</v>
      </c>
      <c r="G68" s="19" t="s">
        <v>28</v>
      </c>
      <c r="H68" s="19"/>
    </row>
    <row r="69" customFormat="false" ht="39.75" hidden="false" customHeight="true" outlineLevel="0" collapsed="false">
      <c r="A69" s="19" t="s">
        <v>242</v>
      </c>
      <c r="B69" s="19" t="s">
        <v>233</v>
      </c>
      <c r="C69" s="19" t="s">
        <v>243</v>
      </c>
      <c r="D69" s="20" t="s">
        <v>25</v>
      </c>
      <c r="E69" s="21" t="s">
        <v>26</v>
      </c>
      <c r="F69" s="19" t="s">
        <v>244</v>
      </c>
      <c r="G69" s="19" t="s">
        <v>28</v>
      </c>
      <c r="H69" s="19"/>
    </row>
    <row r="70" customFormat="false" ht="39.75" hidden="false" customHeight="true" outlineLevel="0" collapsed="false">
      <c r="A70" s="19" t="s">
        <v>245</v>
      </c>
      <c r="B70" s="19" t="s">
        <v>233</v>
      </c>
      <c r="C70" s="19" t="s">
        <v>246</v>
      </c>
      <c r="D70" s="20" t="s">
        <v>25</v>
      </c>
      <c r="E70" s="21" t="s">
        <v>26</v>
      </c>
      <c r="F70" s="19" t="s">
        <v>247</v>
      </c>
      <c r="G70" s="19" t="s">
        <v>28</v>
      </c>
      <c r="H70" s="19"/>
    </row>
    <row r="71" customFormat="false" ht="39.75" hidden="false" customHeight="true" outlineLevel="0" collapsed="false">
      <c r="A71" s="19" t="s">
        <v>248</v>
      </c>
      <c r="B71" s="19" t="s">
        <v>233</v>
      </c>
      <c r="C71" s="19" t="s">
        <v>249</v>
      </c>
      <c r="D71" s="20" t="s">
        <v>25</v>
      </c>
      <c r="E71" s="21" t="s">
        <v>26</v>
      </c>
      <c r="F71" s="19" t="s">
        <v>250</v>
      </c>
      <c r="G71" s="19" t="s">
        <v>28</v>
      </c>
      <c r="H71" s="19"/>
    </row>
    <row r="72" customFormat="false" ht="39.75" hidden="false" customHeight="true" outlineLevel="0" collapsed="false">
      <c r="A72" s="19" t="s">
        <v>251</v>
      </c>
      <c r="B72" s="19" t="s">
        <v>233</v>
      </c>
      <c r="C72" s="19" t="s">
        <v>252</v>
      </c>
      <c r="D72" s="22" t="s">
        <v>54</v>
      </c>
      <c r="E72" s="21" t="s">
        <v>26</v>
      </c>
      <c r="F72" s="19" t="s">
        <v>253</v>
      </c>
      <c r="G72" s="19" t="s">
        <v>28</v>
      </c>
      <c r="H72" s="19"/>
    </row>
    <row r="73" customFormat="false" ht="39.75" hidden="false" customHeight="true" outlineLevel="0" collapsed="false">
      <c r="A73" s="19" t="s">
        <v>254</v>
      </c>
      <c r="B73" s="19" t="s">
        <v>233</v>
      </c>
      <c r="C73" s="19" t="s">
        <v>255</v>
      </c>
      <c r="D73" s="22" t="s">
        <v>54</v>
      </c>
      <c r="E73" s="21" t="s">
        <v>26</v>
      </c>
      <c r="F73" s="19" t="s">
        <v>256</v>
      </c>
      <c r="G73" s="19" t="s">
        <v>28</v>
      </c>
      <c r="H73" s="19"/>
    </row>
    <row r="74" customFormat="false" ht="39.75" hidden="false" customHeight="true" outlineLevel="0" collapsed="false">
      <c r="A74" s="19" t="s">
        <v>257</v>
      </c>
      <c r="B74" s="19" t="s">
        <v>233</v>
      </c>
      <c r="C74" s="19" t="s">
        <v>258</v>
      </c>
      <c r="D74" s="22" t="s">
        <v>54</v>
      </c>
      <c r="E74" s="21" t="s">
        <v>26</v>
      </c>
      <c r="F74" s="19" t="s">
        <v>259</v>
      </c>
      <c r="G74" s="19" t="s">
        <v>28</v>
      </c>
      <c r="H74" s="19"/>
    </row>
    <row r="75" customFormat="false" ht="39.75" hidden="false" customHeight="true" outlineLevel="0" collapsed="false">
      <c r="A75" s="19" t="s">
        <v>260</v>
      </c>
      <c r="B75" s="19" t="s">
        <v>233</v>
      </c>
      <c r="C75" s="19" t="s">
        <v>261</v>
      </c>
      <c r="D75" s="22" t="s">
        <v>54</v>
      </c>
      <c r="E75" s="21" t="s">
        <v>26</v>
      </c>
      <c r="F75" s="19" t="s">
        <v>262</v>
      </c>
      <c r="G75" s="19" t="s">
        <v>28</v>
      </c>
      <c r="H75" s="19"/>
    </row>
    <row r="76" customFormat="false" ht="39.75" hidden="false" customHeight="true" outlineLevel="0" collapsed="false">
      <c r="A76" s="19" t="s">
        <v>263</v>
      </c>
      <c r="B76" s="19" t="s">
        <v>233</v>
      </c>
      <c r="C76" s="19" t="s">
        <v>264</v>
      </c>
      <c r="D76" s="22" t="s">
        <v>54</v>
      </c>
      <c r="E76" s="21" t="s">
        <v>26</v>
      </c>
      <c r="F76" s="19" t="s">
        <v>265</v>
      </c>
      <c r="G76" s="19" t="s">
        <v>28</v>
      </c>
      <c r="H76" s="19"/>
    </row>
    <row r="77" customFormat="false" ht="39.75" hidden="false" customHeight="true" outlineLevel="0" collapsed="false">
      <c r="A77" s="19" t="s">
        <v>266</v>
      </c>
      <c r="B77" s="19" t="s">
        <v>233</v>
      </c>
      <c r="C77" s="19" t="s">
        <v>267</v>
      </c>
      <c r="D77" s="23" t="s">
        <v>151</v>
      </c>
      <c r="E77" s="24" t="s">
        <v>152</v>
      </c>
      <c r="F77" s="19" t="s">
        <v>268</v>
      </c>
      <c r="G77" s="19"/>
      <c r="H77" s="19" t="s">
        <v>269</v>
      </c>
    </row>
    <row r="78" customFormat="false" ht="39.75" hidden="false" customHeight="true" outlineLevel="0" collapsed="false">
      <c r="A78" s="19" t="s">
        <v>270</v>
      </c>
      <c r="B78" s="19" t="s">
        <v>233</v>
      </c>
      <c r="C78" s="19" t="s">
        <v>271</v>
      </c>
      <c r="D78" s="20" t="s">
        <v>25</v>
      </c>
      <c r="E78" s="21" t="s">
        <v>26</v>
      </c>
      <c r="F78" s="19" t="s">
        <v>272</v>
      </c>
      <c r="G78" s="19" t="s">
        <v>28</v>
      </c>
      <c r="H78" s="19"/>
    </row>
    <row r="79" customFormat="false" ht="39.75" hidden="false" customHeight="true" outlineLevel="0" collapsed="false">
      <c r="A79" s="19" t="s">
        <v>273</v>
      </c>
      <c r="B79" s="19" t="s">
        <v>233</v>
      </c>
      <c r="C79" s="19" t="s">
        <v>274</v>
      </c>
      <c r="D79" s="20" t="s">
        <v>25</v>
      </c>
      <c r="E79" s="21" t="s">
        <v>26</v>
      </c>
      <c r="F79" s="19" t="s">
        <v>275</v>
      </c>
      <c r="G79" s="19" t="s">
        <v>28</v>
      </c>
      <c r="H79" s="19"/>
    </row>
    <row r="80" customFormat="false" ht="39.75" hidden="false" customHeight="true" outlineLevel="0" collapsed="false">
      <c r="A80" s="19" t="s">
        <v>276</v>
      </c>
      <c r="B80" s="19" t="s">
        <v>277</v>
      </c>
      <c r="C80" s="19" t="s">
        <v>278</v>
      </c>
      <c r="D80" s="20" t="s">
        <v>25</v>
      </c>
      <c r="E80" s="21" t="s">
        <v>26</v>
      </c>
      <c r="F80" s="19" t="s">
        <v>279</v>
      </c>
      <c r="G80" s="19" t="s">
        <v>28</v>
      </c>
      <c r="H80" s="19"/>
    </row>
    <row r="81" customFormat="false" ht="39.75" hidden="false" customHeight="true" outlineLevel="0" collapsed="false">
      <c r="A81" s="19" t="s">
        <v>280</v>
      </c>
      <c r="B81" s="19" t="s">
        <v>277</v>
      </c>
      <c r="C81" s="19" t="s">
        <v>281</v>
      </c>
      <c r="D81" s="20" t="s">
        <v>25</v>
      </c>
      <c r="E81" s="21" t="s">
        <v>26</v>
      </c>
      <c r="F81" s="19" t="s">
        <v>282</v>
      </c>
      <c r="G81" s="19" t="s">
        <v>28</v>
      </c>
      <c r="H81" s="19"/>
    </row>
    <row r="82" customFormat="false" ht="39.75" hidden="false" customHeight="true" outlineLevel="0" collapsed="false">
      <c r="A82" s="19" t="s">
        <v>283</v>
      </c>
      <c r="B82" s="19" t="s">
        <v>277</v>
      </c>
      <c r="C82" s="19" t="s">
        <v>284</v>
      </c>
      <c r="D82" s="20" t="s">
        <v>25</v>
      </c>
      <c r="E82" s="21" t="s">
        <v>26</v>
      </c>
      <c r="F82" s="19" t="s">
        <v>285</v>
      </c>
      <c r="G82" s="19" t="s">
        <v>28</v>
      </c>
      <c r="H82" s="19"/>
    </row>
    <row r="83" customFormat="false" ht="39.75" hidden="false" customHeight="true" outlineLevel="0" collapsed="false">
      <c r="A83" s="19" t="s">
        <v>286</v>
      </c>
      <c r="B83" s="19" t="s">
        <v>277</v>
      </c>
      <c r="C83" s="19" t="s">
        <v>138</v>
      </c>
      <c r="D83" s="20" t="s">
        <v>25</v>
      </c>
      <c r="E83" s="21" t="s">
        <v>26</v>
      </c>
      <c r="F83" s="19" t="s">
        <v>287</v>
      </c>
      <c r="G83" s="19" t="s">
        <v>28</v>
      </c>
      <c r="H83" s="19"/>
    </row>
    <row r="84" customFormat="false" ht="39.75" hidden="false" customHeight="true" outlineLevel="0" collapsed="false">
      <c r="A84" s="19" t="s">
        <v>288</v>
      </c>
      <c r="B84" s="19" t="s">
        <v>277</v>
      </c>
      <c r="C84" s="19" t="s">
        <v>289</v>
      </c>
      <c r="D84" s="20" t="s">
        <v>25</v>
      </c>
      <c r="E84" s="21" t="s">
        <v>26</v>
      </c>
      <c r="F84" s="19" t="s">
        <v>290</v>
      </c>
      <c r="G84" s="19" t="s">
        <v>28</v>
      </c>
      <c r="H84" s="19"/>
    </row>
    <row r="85" customFormat="false" ht="39.75" hidden="false" customHeight="true" outlineLevel="0" collapsed="false">
      <c r="A85" s="19" t="s">
        <v>291</v>
      </c>
      <c r="B85" s="19" t="s">
        <v>277</v>
      </c>
      <c r="C85" s="19" t="s">
        <v>292</v>
      </c>
      <c r="D85" s="20" t="s">
        <v>25</v>
      </c>
      <c r="E85" s="21" t="s">
        <v>26</v>
      </c>
      <c r="F85" s="19" t="s">
        <v>293</v>
      </c>
      <c r="G85" s="19" t="s">
        <v>28</v>
      </c>
      <c r="H85" s="19" t="s">
        <v>95</v>
      </c>
    </row>
    <row r="86" customFormat="false" ht="39.75" hidden="false" customHeight="true" outlineLevel="0" collapsed="false">
      <c r="A86" s="19" t="s">
        <v>294</v>
      </c>
      <c r="B86" s="19" t="s">
        <v>295</v>
      </c>
      <c r="C86" s="19" t="s">
        <v>296</v>
      </c>
      <c r="D86" s="20" t="s">
        <v>25</v>
      </c>
      <c r="E86" s="21" t="s">
        <v>26</v>
      </c>
      <c r="F86" s="19" t="s">
        <v>297</v>
      </c>
      <c r="G86" s="19" t="s">
        <v>28</v>
      </c>
      <c r="H86" s="19"/>
    </row>
    <row r="87" customFormat="false" ht="39.75" hidden="false" customHeight="true" outlineLevel="0" collapsed="false">
      <c r="A87" s="19" t="s">
        <v>298</v>
      </c>
      <c r="B87" s="19" t="s">
        <v>295</v>
      </c>
      <c r="C87" s="19" t="s">
        <v>299</v>
      </c>
      <c r="D87" s="22" t="s">
        <v>54</v>
      </c>
      <c r="E87" s="21" t="s">
        <v>26</v>
      </c>
      <c r="F87" s="19" t="s">
        <v>300</v>
      </c>
      <c r="G87" s="19" t="s">
        <v>28</v>
      </c>
      <c r="H87" s="19"/>
    </row>
    <row r="88" customFormat="false" ht="39.75" hidden="false" customHeight="true" outlineLevel="0" collapsed="false">
      <c r="A88" s="19" t="s">
        <v>301</v>
      </c>
      <c r="B88" s="19" t="s">
        <v>295</v>
      </c>
      <c r="C88" s="19" t="s">
        <v>302</v>
      </c>
      <c r="D88" s="22" t="s">
        <v>54</v>
      </c>
      <c r="E88" s="21" t="s">
        <v>26</v>
      </c>
      <c r="F88" s="19" t="s">
        <v>303</v>
      </c>
      <c r="G88" s="19" t="s">
        <v>28</v>
      </c>
      <c r="H88" s="19"/>
    </row>
    <row r="89" customFormat="false" ht="39.75" hidden="false" customHeight="true" outlineLevel="0" collapsed="false">
      <c r="A89" s="19" t="s">
        <v>304</v>
      </c>
      <c r="B89" s="19" t="s">
        <v>295</v>
      </c>
      <c r="C89" s="19" t="s">
        <v>305</v>
      </c>
      <c r="D89" s="20" t="s">
        <v>25</v>
      </c>
      <c r="E89" s="21" t="s">
        <v>26</v>
      </c>
      <c r="F89" s="19" t="s">
        <v>306</v>
      </c>
      <c r="G89" s="19" t="s">
        <v>28</v>
      </c>
      <c r="H89" s="19"/>
    </row>
    <row r="90" customFormat="false" ht="39.75" hidden="false" customHeight="true" outlineLevel="0" collapsed="false">
      <c r="A90" s="19" t="s">
        <v>307</v>
      </c>
      <c r="B90" s="19" t="s">
        <v>295</v>
      </c>
      <c r="C90" s="19" t="s">
        <v>308</v>
      </c>
      <c r="D90" s="20" t="s">
        <v>25</v>
      </c>
      <c r="E90" s="21" t="s">
        <v>26</v>
      </c>
      <c r="F90" s="19" t="s">
        <v>309</v>
      </c>
      <c r="G90" s="19" t="s">
        <v>28</v>
      </c>
      <c r="H90" s="19"/>
    </row>
    <row r="91" customFormat="false" ht="39.75" hidden="false" customHeight="true" outlineLevel="0" collapsed="false">
      <c r="A91" s="19" t="s">
        <v>310</v>
      </c>
      <c r="B91" s="19" t="s">
        <v>295</v>
      </c>
      <c r="C91" s="19" t="s">
        <v>311</v>
      </c>
      <c r="D91" s="20" t="s">
        <v>25</v>
      </c>
      <c r="E91" s="21" t="s">
        <v>26</v>
      </c>
      <c r="F91" s="19" t="s">
        <v>312</v>
      </c>
      <c r="G91" s="19" t="s">
        <v>28</v>
      </c>
      <c r="H91" s="19"/>
    </row>
    <row r="92" customFormat="false" ht="39.75" hidden="false" customHeight="true" outlineLevel="0" collapsed="false">
      <c r="A92" s="19" t="s">
        <v>313</v>
      </c>
      <c r="B92" s="19" t="s">
        <v>295</v>
      </c>
      <c r="C92" s="19" t="s">
        <v>314</v>
      </c>
      <c r="D92" s="20" t="s">
        <v>25</v>
      </c>
      <c r="E92" s="21" t="s">
        <v>26</v>
      </c>
      <c r="F92" s="19" t="s">
        <v>315</v>
      </c>
      <c r="G92" s="19" t="s">
        <v>28</v>
      </c>
      <c r="H92" s="19"/>
    </row>
    <row r="93" customFormat="false" ht="39.75" hidden="false" customHeight="true" outlineLevel="0" collapsed="false">
      <c r="A93" s="19" t="s">
        <v>316</v>
      </c>
      <c r="B93" s="19" t="s">
        <v>295</v>
      </c>
      <c r="C93" s="19" t="s">
        <v>317</v>
      </c>
      <c r="D93" s="20" t="s">
        <v>25</v>
      </c>
      <c r="E93" s="21" t="s">
        <v>26</v>
      </c>
      <c r="F93" s="19" t="s">
        <v>318</v>
      </c>
      <c r="G93" s="19" t="s">
        <v>28</v>
      </c>
      <c r="H93" s="19"/>
    </row>
    <row r="94" customFormat="false" ht="39.75" hidden="false" customHeight="true" outlineLevel="0" collapsed="false">
      <c r="A94" s="19" t="s">
        <v>319</v>
      </c>
      <c r="B94" s="19" t="s">
        <v>295</v>
      </c>
      <c r="C94" s="19" t="s">
        <v>320</v>
      </c>
      <c r="D94" s="20" t="s">
        <v>25</v>
      </c>
      <c r="E94" s="21" t="s">
        <v>26</v>
      </c>
      <c r="F94" s="19" t="s">
        <v>321</v>
      </c>
      <c r="G94" s="19" t="s">
        <v>28</v>
      </c>
      <c r="H94" s="19"/>
    </row>
    <row r="95" customFormat="false" ht="39.75" hidden="false" customHeight="true" outlineLevel="0" collapsed="false">
      <c r="A95" s="19" t="s">
        <v>322</v>
      </c>
      <c r="B95" s="19" t="s">
        <v>295</v>
      </c>
      <c r="C95" s="19" t="s">
        <v>323</v>
      </c>
      <c r="D95" s="20" t="s">
        <v>25</v>
      </c>
      <c r="E95" s="21" t="s">
        <v>26</v>
      </c>
      <c r="F95" s="19" t="s">
        <v>324</v>
      </c>
      <c r="G95" s="19" t="s">
        <v>28</v>
      </c>
      <c r="H95" s="19"/>
    </row>
    <row r="96" customFormat="false" ht="39.75" hidden="false" customHeight="true" outlineLevel="0" collapsed="false">
      <c r="A96" s="19" t="s">
        <v>325</v>
      </c>
      <c r="B96" s="19" t="s">
        <v>326</v>
      </c>
      <c r="C96" s="19" t="s">
        <v>327</v>
      </c>
      <c r="D96" s="20" t="s">
        <v>25</v>
      </c>
      <c r="E96" s="21" t="s">
        <v>26</v>
      </c>
      <c r="F96" s="19" t="s">
        <v>328</v>
      </c>
      <c r="G96" s="19" t="s">
        <v>28</v>
      </c>
      <c r="H96" s="19"/>
    </row>
    <row r="97" customFormat="false" ht="39.75" hidden="false" customHeight="true" outlineLevel="0" collapsed="false">
      <c r="A97" s="19" t="s">
        <v>329</v>
      </c>
      <c r="B97" s="19" t="s">
        <v>326</v>
      </c>
      <c r="C97" s="19" t="s">
        <v>330</v>
      </c>
      <c r="D97" s="20" t="s">
        <v>25</v>
      </c>
      <c r="E97" s="21" t="s">
        <v>26</v>
      </c>
      <c r="F97" s="19" t="s">
        <v>331</v>
      </c>
      <c r="G97" s="19" t="s">
        <v>28</v>
      </c>
      <c r="H97" s="19"/>
    </row>
    <row r="98" customFormat="false" ht="39.75" hidden="false" customHeight="true" outlineLevel="0" collapsed="false">
      <c r="A98" s="19" t="s">
        <v>332</v>
      </c>
      <c r="B98" s="19" t="s">
        <v>326</v>
      </c>
      <c r="C98" s="19" t="s">
        <v>333</v>
      </c>
      <c r="D98" s="20" t="s">
        <v>25</v>
      </c>
      <c r="E98" s="21" t="s">
        <v>26</v>
      </c>
      <c r="F98" s="19" t="s">
        <v>334</v>
      </c>
      <c r="G98" s="19" t="s">
        <v>28</v>
      </c>
      <c r="H98" s="19"/>
    </row>
    <row r="99" customFormat="false" ht="39.75" hidden="false" customHeight="true" outlineLevel="0" collapsed="false">
      <c r="A99" s="19" t="s">
        <v>335</v>
      </c>
      <c r="B99" s="19" t="s">
        <v>326</v>
      </c>
      <c r="C99" s="19" t="s">
        <v>336</v>
      </c>
      <c r="D99" s="20" t="s">
        <v>25</v>
      </c>
      <c r="E99" s="21" t="s">
        <v>26</v>
      </c>
      <c r="F99" s="19" t="s">
        <v>337</v>
      </c>
      <c r="G99" s="19" t="s">
        <v>28</v>
      </c>
      <c r="H99" s="19"/>
    </row>
    <row r="100" customFormat="false" ht="39.75" hidden="false" customHeight="true" outlineLevel="0" collapsed="false">
      <c r="A100" s="19" t="s">
        <v>338</v>
      </c>
      <c r="B100" s="19" t="s">
        <v>326</v>
      </c>
      <c r="C100" s="19" t="s">
        <v>339</v>
      </c>
      <c r="D100" s="20" t="s">
        <v>25</v>
      </c>
      <c r="E100" s="21" t="s">
        <v>26</v>
      </c>
      <c r="F100" s="19" t="s">
        <v>340</v>
      </c>
      <c r="G100" s="19" t="s">
        <v>28</v>
      </c>
      <c r="H100" s="19"/>
    </row>
    <row r="101" customFormat="false" ht="39.75" hidden="false" customHeight="true" outlineLevel="0" collapsed="false">
      <c r="A101" s="19" t="s">
        <v>341</v>
      </c>
      <c r="B101" s="19" t="s">
        <v>326</v>
      </c>
      <c r="C101" s="19" t="s">
        <v>342</v>
      </c>
      <c r="D101" s="20" t="s">
        <v>25</v>
      </c>
      <c r="E101" s="21" t="s">
        <v>26</v>
      </c>
      <c r="F101" s="19" t="s">
        <v>343</v>
      </c>
      <c r="G101" s="19" t="s">
        <v>28</v>
      </c>
      <c r="H101" s="19"/>
    </row>
    <row r="102" customFormat="false" ht="39.75" hidden="false" customHeight="true" outlineLevel="0" collapsed="false">
      <c r="A102" s="19" t="s">
        <v>344</v>
      </c>
      <c r="B102" s="19" t="s">
        <v>326</v>
      </c>
      <c r="C102" s="19" t="s">
        <v>345</v>
      </c>
      <c r="D102" s="20" t="s">
        <v>25</v>
      </c>
      <c r="E102" s="21" t="s">
        <v>26</v>
      </c>
      <c r="F102" s="19" t="s">
        <v>346</v>
      </c>
      <c r="G102" s="19" t="s">
        <v>28</v>
      </c>
      <c r="H102" s="19"/>
    </row>
    <row r="103" customFormat="false" ht="39.75" hidden="false" customHeight="true" outlineLevel="0" collapsed="false">
      <c r="A103" s="19" t="s">
        <v>347</v>
      </c>
      <c r="B103" s="19" t="s">
        <v>326</v>
      </c>
      <c r="C103" s="19" t="s">
        <v>348</v>
      </c>
      <c r="D103" s="20" t="s">
        <v>25</v>
      </c>
      <c r="E103" s="21" t="s">
        <v>26</v>
      </c>
      <c r="F103" s="19" t="s">
        <v>349</v>
      </c>
      <c r="G103" s="19" t="s">
        <v>28</v>
      </c>
      <c r="H103" s="19"/>
    </row>
    <row r="104" customFormat="false" ht="39.75" hidden="false" customHeight="true" outlineLevel="0" collapsed="false">
      <c r="A104" s="19" t="s">
        <v>350</v>
      </c>
      <c r="B104" s="19" t="s">
        <v>326</v>
      </c>
      <c r="C104" s="19" t="s">
        <v>351</v>
      </c>
      <c r="D104" s="20" t="s">
        <v>25</v>
      </c>
      <c r="E104" s="21" t="s">
        <v>26</v>
      </c>
      <c r="F104" s="19" t="s">
        <v>352</v>
      </c>
      <c r="G104" s="19" t="s">
        <v>28</v>
      </c>
      <c r="H104" s="19"/>
    </row>
    <row r="105" customFormat="false" ht="39.75" hidden="false" customHeight="true" outlineLevel="0" collapsed="false">
      <c r="A105" s="19" t="s">
        <v>353</v>
      </c>
      <c r="B105" s="19" t="s">
        <v>326</v>
      </c>
      <c r="C105" s="19" t="s">
        <v>354</v>
      </c>
      <c r="D105" s="20" t="s">
        <v>25</v>
      </c>
      <c r="E105" s="21" t="s">
        <v>26</v>
      </c>
      <c r="F105" s="19" t="s">
        <v>355</v>
      </c>
      <c r="G105" s="19" t="s">
        <v>28</v>
      </c>
      <c r="H105" s="19"/>
    </row>
    <row r="106" customFormat="false" ht="39.75" hidden="false" customHeight="true" outlineLevel="0" collapsed="false">
      <c r="A106" s="19" t="s">
        <v>356</v>
      </c>
      <c r="B106" s="19" t="s">
        <v>326</v>
      </c>
      <c r="C106" s="19" t="s">
        <v>357</v>
      </c>
      <c r="D106" s="20" t="s">
        <v>25</v>
      </c>
      <c r="E106" s="21" t="s">
        <v>26</v>
      </c>
      <c r="F106" s="19" t="s">
        <v>358</v>
      </c>
      <c r="G106" s="19" t="s">
        <v>28</v>
      </c>
      <c r="H106" s="19"/>
    </row>
    <row r="107" customFormat="false" ht="39.75" hidden="false" customHeight="true" outlineLevel="0" collapsed="false">
      <c r="A107" s="19" t="s">
        <v>359</v>
      </c>
      <c r="B107" s="19" t="s">
        <v>326</v>
      </c>
      <c r="C107" s="19" t="s">
        <v>360</v>
      </c>
      <c r="D107" s="20" t="s">
        <v>25</v>
      </c>
      <c r="E107" s="21" t="s">
        <v>26</v>
      </c>
      <c r="F107" s="19" t="s">
        <v>361</v>
      </c>
      <c r="G107" s="19" t="s">
        <v>28</v>
      </c>
      <c r="H107" s="19" t="s">
        <v>362</v>
      </c>
    </row>
    <row r="108" customFormat="false" ht="39.75" hidden="false" customHeight="true" outlineLevel="0" collapsed="false">
      <c r="A108" s="19" t="s">
        <v>363</v>
      </c>
      <c r="B108" s="19" t="s">
        <v>326</v>
      </c>
      <c r="C108" s="19" t="s">
        <v>364</v>
      </c>
      <c r="D108" s="23" t="s">
        <v>151</v>
      </c>
      <c r="E108" s="24" t="s">
        <v>152</v>
      </c>
      <c r="F108" s="19" t="s">
        <v>365</v>
      </c>
      <c r="G108" s="19"/>
      <c r="H108" s="19"/>
    </row>
    <row r="109" customFormat="false" ht="39.75" hidden="false" customHeight="true" outlineLevel="0" collapsed="false">
      <c r="A109" s="19" t="s">
        <v>366</v>
      </c>
      <c r="B109" s="19" t="s">
        <v>326</v>
      </c>
      <c r="C109" s="19" t="s">
        <v>367</v>
      </c>
      <c r="D109" s="23" t="s">
        <v>151</v>
      </c>
      <c r="E109" s="24" t="s">
        <v>152</v>
      </c>
      <c r="F109" s="19" t="s">
        <v>368</v>
      </c>
      <c r="G109" s="19"/>
      <c r="H109" s="19"/>
    </row>
    <row r="110" customFormat="false" ht="39.75" hidden="false" customHeight="true" outlineLevel="0" collapsed="false">
      <c r="A110" s="19" t="s">
        <v>369</v>
      </c>
      <c r="B110" s="19" t="s">
        <v>326</v>
      </c>
      <c r="C110" s="19" t="s">
        <v>370</v>
      </c>
      <c r="D110" s="23" t="s">
        <v>151</v>
      </c>
      <c r="E110" s="24" t="s">
        <v>152</v>
      </c>
      <c r="F110" s="19" t="s">
        <v>371</v>
      </c>
      <c r="G110" s="19"/>
      <c r="H110" s="19"/>
    </row>
    <row r="111" customFormat="false" ht="39.75" hidden="false" customHeight="true" outlineLevel="0" collapsed="false">
      <c r="A111" s="19" t="s">
        <v>372</v>
      </c>
      <c r="B111" s="19" t="s">
        <v>326</v>
      </c>
      <c r="C111" s="19" t="s">
        <v>373</v>
      </c>
      <c r="D111" s="23" t="s">
        <v>151</v>
      </c>
      <c r="E111" s="24" t="s">
        <v>152</v>
      </c>
      <c r="F111" s="19" t="s">
        <v>374</v>
      </c>
      <c r="G111" s="19"/>
      <c r="H111" s="19"/>
    </row>
    <row r="112" customFormat="false" ht="39.75" hidden="false" customHeight="true" outlineLevel="0" collapsed="false">
      <c r="A112" s="19" t="s">
        <v>375</v>
      </c>
      <c r="B112" s="19" t="s">
        <v>376</v>
      </c>
      <c r="C112" s="19" t="s">
        <v>377</v>
      </c>
      <c r="D112" s="20" t="s">
        <v>25</v>
      </c>
      <c r="E112" s="21" t="s">
        <v>26</v>
      </c>
      <c r="F112" s="19" t="s">
        <v>378</v>
      </c>
      <c r="G112" s="19" t="s">
        <v>28</v>
      </c>
      <c r="H112" s="19"/>
    </row>
    <row r="113" customFormat="false" ht="39.75" hidden="false" customHeight="true" outlineLevel="0" collapsed="false">
      <c r="A113" s="19" t="s">
        <v>379</v>
      </c>
      <c r="B113" s="19" t="s">
        <v>376</v>
      </c>
      <c r="C113" s="19" t="s">
        <v>380</v>
      </c>
      <c r="D113" s="20" t="s">
        <v>25</v>
      </c>
      <c r="E113" s="21" t="s">
        <v>26</v>
      </c>
      <c r="F113" s="19" t="s">
        <v>381</v>
      </c>
      <c r="G113" s="19" t="s">
        <v>28</v>
      </c>
      <c r="H113" s="19"/>
    </row>
    <row r="114" customFormat="false" ht="39.75" hidden="false" customHeight="true" outlineLevel="0" collapsed="false">
      <c r="A114" s="19" t="s">
        <v>382</v>
      </c>
      <c r="B114" s="19" t="s">
        <v>376</v>
      </c>
      <c r="C114" s="19" t="s">
        <v>383</v>
      </c>
      <c r="D114" s="20" t="s">
        <v>25</v>
      </c>
      <c r="E114" s="21" t="s">
        <v>26</v>
      </c>
      <c r="F114" s="19" t="s">
        <v>384</v>
      </c>
      <c r="G114" s="19" t="s">
        <v>28</v>
      </c>
      <c r="H114" s="19"/>
    </row>
    <row r="115" customFormat="false" ht="39.75" hidden="false" customHeight="true" outlineLevel="0" collapsed="false">
      <c r="A115" s="19" t="s">
        <v>385</v>
      </c>
      <c r="B115" s="19" t="s">
        <v>376</v>
      </c>
      <c r="C115" s="19" t="s">
        <v>386</v>
      </c>
      <c r="D115" s="20" t="s">
        <v>25</v>
      </c>
      <c r="E115" s="21" t="s">
        <v>26</v>
      </c>
      <c r="F115" s="19" t="s">
        <v>387</v>
      </c>
      <c r="G115" s="19" t="s">
        <v>28</v>
      </c>
      <c r="H115" s="19"/>
    </row>
    <row r="116" customFormat="false" ht="39.75" hidden="false" customHeight="true" outlineLevel="0" collapsed="false">
      <c r="A116" s="19" t="s">
        <v>388</v>
      </c>
      <c r="B116" s="19" t="s">
        <v>376</v>
      </c>
      <c r="C116" s="19" t="s">
        <v>389</v>
      </c>
      <c r="D116" s="20" t="s">
        <v>25</v>
      </c>
      <c r="E116" s="21" t="s">
        <v>26</v>
      </c>
      <c r="F116" s="19" t="s">
        <v>390</v>
      </c>
      <c r="G116" s="19" t="s">
        <v>28</v>
      </c>
      <c r="H116" s="19"/>
    </row>
    <row r="117" customFormat="false" ht="39.75" hidden="false" customHeight="true" outlineLevel="0" collapsed="false">
      <c r="A117" s="19" t="s">
        <v>391</v>
      </c>
      <c r="B117" s="19" t="s">
        <v>376</v>
      </c>
      <c r="C117" s="19" t="s">
        <v>392</v>
      </c>
      <c r="D117" s="20" t="s">
        <v>25</v>
      </c>
      <c r="E117" s="21" t="s">
        <v>26</v>
      </c>
      <c r="F117" s="19" t="s">
        <v>393</v>
      </c>
      <c r="G117" s="19" t="s">
        <v>28</v>
      </c>
      <c r="H117" s="19"/>
    </row>
    <row r="118" customFormat="false" ht="39.75" hidden="false" customHeight="true" outlineLevel="0" collapsed="false">
      <c r="A118" s="19" t="s">
        <v>394</v>
      </c>
      <c r="B118" s="19" t="s">
        <v>376</v>
      </c>
      <c r="C118" s="19" t="s">
        <v>395</v>
      </c>
      <c r="D118" s="20" t="s">
        <v>25</v>
      </c>
      <c r="E118" s="21" t="s">
        <v>26</v>
      </c>
      <c r="F118" s="19" t="s">
        <v>396</v>
      </c>
      <c r="G118" s="19" t="s">
        <v>28</v>
      </c>
      <c r="H118" s="19"/>
    </row>
    <row r="119" customFormat="false" ht="39.75" hidden="false" customHeight="true" outlineLevel="0" collapsed="false">
      <c r="A119" s="19" t="s">
        <v>397</v>
      </c>
      <c r="B119" s="19" t="s">
        <v>376</v>
      </c>
      <c r="C119" s="19" t="s">
        <v>398</v>
      </c>
      <c r="D119" s="20" t="s">
        <v>25</v>
      </c>
      <c r="E119" s="21" t="s">
        <v>26</v>
      </c>
      <c r="F119" s="19" t="s">
        <v>399</v>
      </c>
      <c r="G119" s="19" t="s">
        <v>28</v>
      </c>
      <c r="H119" s="19"/>
    </row>
    <row r="120" customFormat="false" ht="39.75" hidden="false" customHeight="true" outlineLevel="0" collapsed="false">
      <c r="A120" s="19" t="s">
        <v>400</v>
      </c>
      <c r="B120" s="19" t="s">
        <v>376</v>
      </c>
      <c r="C120" s="19" t="s">
        <v>401</v>
      </c>
      <c r="D120" s="22" t="s">
        <v>54</v>
      </c>
      <c r="E120" s="24" t="s">
        <v>152</v>
      </c>
      <c r="F120" s="19" t="s">
        <v>402</v>
      </c>
      <c r="G120" s="19"/>
      <c r="H120" s="19" t="s">
        <v>403</v>
      </c>
    </row>
    <row r="121" customFormat="false" ht="39.75" hidden="false" customHeight="true" outlineLevel="0" collapsed="false">
      <c r="A121" s="19" t="s">
        <v>404</v>
      </c>
      <c r="B121" s="19" t="s">
        <v>376</v>
      </c>
      <c r="C121" s="19" t="s">
        <v>405</v>
      </c>
      <c r="D121" s="23" t="s">
        <v>151</v>
      </c>
      <c r="E121" s="24" t="s">
        <v>152</v>
      </c>
      <c r="F121" s="19" t="s">
        <v>406</v>
      </c>
      <c r="G121" s="19"/>
      <c r="H121" s="19"/>
    </row>
    <row r="122" customFormat="false" ht="39.75" hidden="false" customHeight="true" outlineLevel="0" collapsed="false">
      <c r="A122" s="19" t="s">
        <v>407</v>
      </c>
      <c r="B122" s="19" t="s">
        <v>408</v>
      </c>
      <c r="C122" s="19" t="s">
        <v>409</v>
      </c>
      <c r="D122" s="22" t="s">
        <v>54</v>
      </c>
      <c r="E122" s="21" t="s">
        <v>26</v>
      </c>
      <c r="F122" s="19" t="s">
        <v>410</v>
      </c>
      <c r="G122" s="19" t="s">
        <v>28</v>
      </c>
      <c r="H122" s="19"/>
    </row>
    <row r="123" customFormat="false" ht="39.75" hidden="false" customHeight="true" outlineLevel="0" collapsed="false">
      <c r="A123" s="19" t="s">
        <v>411</v>
      </c>
      <c r="B123" s="19" t="s">
        <v>408</v>
      </c>
      <c r="C123" s="19" t="s">
        <v>412</v>
      </c>
      <c r="D123" s="22" t="s">
        <v>54</v>
      </c>
      <c r="E123" s="21" t="s">
        <v>26</v>
      </c>
      <c r="F123" s="19" t="s">
        <v>413</v>
      </c>
      <c r="G123" s="19" t="s">
        <v>28</v>
      </c>
      <c r="H123" s="19"/>
    </row>
    <row r="124" customFormat="false" ht="39.75" hidden="false" customHeight="true" outlineLevel="0" collapsed="false">
      <c r="A124" s="19" t="s">
        <v>414</v>
      </c>
      <c r="B124" s="19" t="s">
        <v>408</v>
      </c>
      <c r="C124" s="19" t="s">
        <v>415</v>
      </c>
      <c r="D124" s="22" t="s">
        <v>54</v>
      </c>
      <c r="E124" s="21" t="s">
        <v>26</v>
      </c>
      <c r="F124" s="19" t="s">
        <v>416</v>
      </c>
      <c r="G124" s="19" t="s">
        <v>28</v>
      </c>
      <c r="H124" s="19"/>
    </row>
    <row r="125" customFormat="false" ht="39.75" hidden="false" customHeight="true" outlineLevel="0" collapsed="false">
      <c r="A125" s="19" t="s">
        <v>417</v>
      </c>
      <c r="B125" s="19" t="s">
        <v>408</v>
      </c>
      <c r="C125" s="19" t="s">
        <v>418</v>
      </c>
      <c r="D125" s="22" t="s">
        <v>54</v>
      </c>
      <c r="E125" s="21" t="s">
        <v>26</v>
      </c>
      <c r="F125" s="19" t="s">
        <v>419</v>
      </c>
      <c r="G125" s="19" t="s">
        <v>28</v>
      </c>
      <c r="H125" s="19"/>
    </row>
    <row r="126" customFormat="false" ht="39.75" hidden="false" customHeight="true" outlineLevel="0" collapsed="false">
      <c r="A126" s="19" t="s">
        <v>420</v>
      </c>
      <c r="B126" s="19" t="s">
        <v>408</v>
      </c>
      <c r="C126" s="19" t="s">
        <v>421</v>
      </c>
      <c r="D126" s="22" t="s">
        <v>54</v>
      </c>
      <c r="E126" s="21" t="s">
        <v>26</v>
      </c>
      <c r="F126" s="19" t="s">
        <v>422</v>
      </c>
      <c r="G126" s="19" t="s">
        <v>28</v>
      </c>
      <c r="H126" s="19"/>
    </row>
    <row r="127" customFormat="false" ht="39.75" hidden="false" customHeight="true" outlineLevel="0" collapsed="false">
      <c r="A127" s="19" t="s">
        <v>423</v>
      </c>
      <c r="B127" s="19" t="s">
        <v>408</v>
      </c>
      <c r="C127" s="19" t="s">
        <v>424</v>
      </c>
      <c r="D127" s="22" t="s">
        <v>54</v>
      </c>
      <c r="E127" s="21" t="s">
        <v>26</v>
      </c>
      <c r="F127" s="19" t="s">
        <v>425</v>
      </c>
      <c r="G127" s="19" t="s">
        <v>28</v>
      </c>
      <c r="H127" s="19"/>
    </row>
    <row r="128" customFormat="false" ht="39.75" hidden="false" customHeight="true" outlineLevel="0" collapsed="false">
      <c r="A128" s="19" t="s">
        <v>426</v>
      </c>
      <c r="B128" s="19" t="s">
        <v>408</v>
      </c>
      <c r="C128" s="19" t="s">
        <v>427</v>
      </c>
      <c r="D128" s="22" t="s">
        <v>54</v>
      </c>
      <c r="E128" s="21" t="s">
        <v>26</v>
      </c>
      <c r="F128" s="19" t="s">
        <v>428</v>
      </c>
      <c r="G128" s="19" t="s">
        <v>28</v>
      </c>
      <c r="H128" s="19"/>
    </row>
    <row r="129" customFormat="false" ht="39.75" hidden="false" customHeight="true" outlineLevel="0" collapsed="false">
      <c r="A129" s="19" t="s">
        <v>429</v>
      </c>
      <c r="B129" s="19" t="s">
        <v>408</v>
      </c>
      <c r="C129" s="19" t="s">
        <v>430</v>
      </c>
      <c r="D129" s="20" t="s">
        <v>25</v>
      </c>
      <c r="E129" s="21" t="s">
        <v>26</v>
      </c>
      <c r="F129" s="19" t="s">
        <v>431</v>
      </c>
      <c r="G129" s="19" t="s">
        <v>432</v>
      </c>
      <c r="H129" s="19"/>
    </row>
    <row r="130" customFormat="false" ht="39.75" hidden="false" customHeight="true" outlineLevel="0" collapsed="false">
      <c r="A130" s="19" t="s">
        <v>433</v>
      </c>
      <c r="B130" s="19" t="s">
        <v>408</v>
      </c>
      <c r="C130" s="19" t="s">
        <v>434</v>
      </c>
      <c r="D130" s="22" t="s">
        <v>54</v>
      </c>
      <c r="E130" s="24" t="s">
        <v>152</v>
      </c>
      <c r="F130" s="19" t="s">
        <v>435</v>
      </c>
      <c r="G130" s="19"/>
      <c r="H130" s="19" t="s">
        <v>436</v>
      </c>
    </row>
    <row r="131" customFormat="false" ht="39.75" hidden="false" customHeight="true" outlineLevel="0" collapsed="false">
      <c r="A131" s="19" t="s">
        <v>437</v>
      </c>
      <c r="B131" s="19" t="s">
        <v>438</v>
      </c>
      <c r="C131" s="19" t="s">
        <v>439</v>
      </c>
      <c r="D131" s="20" t="s">
        <v>25</v>
      </c>
      <c r="E131" s="21" t="s">
        <v>26</v>
      </c>
      <c r="F131" s="19" t="s">
        <v>440</v>
      </c>
      <c r="G131" s="19" t="s">
        <v>441</v>
      </c>
      <c r="H131" s="19"/>
    </row>
    <row r="132" customFormat="false" ht="39.75" hidden="false" customHeight="true" outlineLevel="0" collapsed="false">
      <c r="A132" s="19" t="s">
        <v>442</v>
      </c>
      <c r="B132" s="19" t="s">
        <v>438</v>
      </c>
      <c r="C132" s="19" t="s">
        <v>443</v>
      </c>
      <c r="D132" s="20" t="s">
        <v>25</v>
      </c>
      <c r="E132" s="21" t="s">
        <v>26</v>
      </c>
      <c r="F132" s="19" t="s">
        <v>444</v>
      </c>
      <c r="G132" s="19" t="s">
        <v>441</v>
      </c>
      <c r="H132" s="19"/>
    </row>
    <row r="133" customFormat="false" ht="39.75" hidden="false" customHeight="true" outlineLevel="0" collapsed="false">
      <c r="A133" s="19" t="s">
        <v>445</v>
      </c>
      <c r="B133" s="19" t="s">
        <v>438</v>
      </c>
      <c r="C133" s="19" t="s">
        <v>446</v>
      </c>
      <c r="D133" s="20" t="s">
        <v>25</v>
      </c>
      <c r="E133" s="21" t="s">
        <v>26</v>
      </c>
      <c r="F133" s="19" t="s">
        <v>447</v>
      </c>
      <c r="G133" s="19" t="s">
        <v>448</v>
      </c>
      <c r="H133" s="19"/>
    </row>
    <row r="134" customFormat="false" ht="39.75" hidden="false" customHeight="true" outlineLevel="0" collapsed="false">
      <c r="A134" s="19" t="s">
        <v>449</v>
      </c>
      <c r="B134" s="19" t="s">
        <v>450</v>
      </c>
      <c r="C134" s="19" t="s">
        <v>451</v>
      </c>
      <c r="D134" s="20" t="s">
        <v>25</v>
      </c>
      <c r="E134" s="24" t="s">
        <v>152</v>
      </c>
      <c r="F134" s="19" t="s">
        <v>452</v>
      </c>
      <c r="G134" s="19"/>
      <c r="H134" s="19" t="s">
        <v>453</v>
      </c>
    </row>
    <row r="135" customFormat="false" ht="39.75" hidden="false" customHeight="true" outlineLevel="0" collapsed="false">
      <c r="A135" s="19" t="s">
        <v>454</v>
      </c>
      <c r="B135" s="19" t="s">
        <v>450</v>
      </c>
      <c r="C135" s="19" t="s">
        <v>455</v>
      </c>
      <c r="D135" s="20" t="s">
        <v>25</v>
      </c>
      <c r="E135" s="24" t="s">
        <v>152</v>
      </c>
      <c r="F135" s="19" t="s">
        <v>456</v>
      </c>
      <c r="G135" s="19"/>
      <c r="H135" s="19" t="s">
        <v>457</v>
      </c>
    </row>
    <row r="136" customFormat="false" ht="39.75" hidden="false" customHeight="true" outlineLevel="0" collapsed="false">
      <c r="A136" s="19" t="s">
        <v>458</v>
      </c>
      <c r="B136" s="19" t="s">
        <v>450</v>
      </c>
      <c r="C136" s="19" t="s">
        <v>459</v>
      </c>
      <c r="D136" s="22" t="s">
        <v>54</v>
      </c>
      <c r="E136" s="24" t="s">
        <v>152</v>
      </c>
      <c r="F136" s="19" t="s">
        <v>460</v>
      </c>
      <c r="G136" s="19"/>
      <c r="H136" s="19" t="s">
        <v>461</v>
      </c>
    </row>
    <row r="137" customFormat="false" ht="39.75" hidden="false" customHeight="true" outlineLevel="0" collapsed="false">
      <c r="A137" s="19" t="s">
        <v>462</v>
      </c>
      <c r="B137" s="19" t="s">
        <v>450</v>
      </c>
      <c r="C137" s="19" t="s">
        <v>463</v>
      </c>
      <c r="D137" s="22" t="s">
        <v>54</v>
      </c>
      <c r="E137" s="24" t="s">
        <v>152</v>
      </c>
      <c r="F137" s="19" t="s">
        <v>464</v>
      </c>
      <c r="G137" s="19"/>
      <c r="H137" s="19" t="s">
        <v>465</v>
      </c>
    </row>
    <row r="138" customFormat="false" ht="39.75" hidden="false" customHeight="true" outlineLevel="0" collapsed="false">
      <c r="A138" s="19" t="s">
        <v>466</v>
      </c>
      <c r="B138" s="19" t="s">
        <v>450</v>
      </c>
      <c r="C138" s="19" t="s">
        <v>467</v>
      </c>
      <c r="D138" s="22" t="s">
        <v>54</v>
      </c>
      <c r="E138" s="24" t="s">
        <v>152</v>
      </c>
      <c r="F138" s="19" t="s">
        <v>468</v>
      </c>
      <c r="G138" s="19"/>
      <c r="H138" s="19" t="s">
        <v>469</v>
      </c>
    </row>
    <row r="139" customFormat="false" ht="39.75" hidden="false" customHeight="true" outlineLevel="0" collapsed="false">
      <c r="A139" s="19" t="s">
        <v>470</v>
      </c>
      <c r="B139" s="19" t="s">
        <v>450</v>
      </c>
      <c r="C139" s="19" t="s">
        <v>471</v>
      </c>
      <c r="D139" s="22" t="s">
        <v>54</v>
      </c>
      <c r="E139" s="24" t="s">
        <v>152</v>
      </c>
      <c r="F139" s="19" t="s">
        <v>472</v>
      </c>
      <c r="G139" s="19"/>
      <c r="H139" s="19" t="s">
        <v>473</v>
      </c>
    </row>
    <row r="140" customFormat="false" ht="39.75" hidden="false" customHeight="true" outlineLevel="0" collapsed="false">
      <c r="A140" s="19" t="s">
        <v>474</v>
      </c>
      <c r="B140" s="19" t="s">
        <v>475</v>
      </c>
      <c r="C140" s="19" t="s">
        <v>476</v>
      </c>
      <c r="D140" s="20" t="s">
        <v>25</v>
      </c>
      <c r="E140" s="24" t="s">
        <v>152</v>
      </c>
      <c r="F140" s="19" t="s">
        <v>477</v>
      </c>
      <c r="G140" s="19"/>
      <c r="H140" s="19" t="s">
        <v>478</v>
      </c>
    </row>
    <row r="141" customFormat="false" ht="39.75" hidden="false" customHeight="true" outlineLevel="0" collapsed="false">
      <c r="A141" s="19" t="s">
        <v>479</v>
      </c>
      <c r="B141" s="19" t="s">
        <v>475</v>
      </c>
      <c r="C141" s="19" t="s">
        <v>480</v>
      </c>
      <c r="D141" s="20" t="s">
        <v>25</v>
      </c>
      <c r="E141" s="24" t="s">
        <v>152</v>
      </c>
      <c r="F141" s="19" t="s">
        <v>481</v>
      </c>
      <c r="G141" s="19"/>
      <c r="H141" s="19" t="s">
        <v>482</v>
      </c>
    </row>
    <row r="142" customFormat="false" ht="39.75" hidden="false" customHeight="true" outlineLevel="0" collapsed="false">
      <c r="A142" s="19" t="s">
        <v>483</v>
      </c>
      <c r="B142" s="19" t="s">
        <v>484</v>
      </c>
      <c r="C142" s="19" t="s">
        <v>485</v>
      </c>
      <c r="D142" s="22" t="s">
        <v>54</v>
      </c>
      <c r="E142" s="24" t="s">
        <v>152</v>
      </c>
      <c r="F142" s="19" t="s">
        <v>486</v>
      </c>
      <c r="G142" s="19"/>
      <c r="H142" s="19" t="s">
        <v>487</v>
      </c>
    </row>
    <row r="143" customFormat="false" ht="39.75" hidden="false" customHeight="true" outlineLevel="0" collapsed="false">
      <c r="A143" s="19" t="s">
        <v>488</v>
      </c>
      <c r="B143" s="19" t="s">
        <v>484</v>
      </c>
      <c r="C143" s="19" t="s">
        <v>489</v>
      </c>
      <c r="D143" s="22" t="s">
        <v>54</v>
      </c>
      <c r="E143" s="24" t="s">
        <v>152</v>
      </c>
      <c r="F143" s="19" t="s">
        <v>490</v>
      </c>
      <c r="G143" s="19"/>
      <c r="H143" s="19" t="s">
        <v>491</v>
      </c>
    </row>
    <row r="144" customFormat="false" ht="39.75" hidden="false" customHeight="true" outlineLevel="0" collapsed="false">
      <c r="A144" s="19" t="s">
        <v>492</v>
      </c>
      <c r="B144" s="19" t="s">
        <v>484</v>
      </c>
      <c r="C144" s="19" t="s">
        <v>493</v>
      </c>
      <c r="D144" s="22" t="s">
        <v>54</v>
      </c>
      <c r="E144" s="24" t="s">
        <v>152</v>
      </c>
      <c r="F144" s="19" t="s">
        <v>494</v>
      </c>
      <c r="G144" s="19"/>
      <c r="H144" s="19" t="s">
        <v>495</v>
      </c>
    </row>
    <row r="145" customFormat="false" ht="39.75" hidden="false" customHeight="true" outlineLevel="0" collapsed="false">
      <c r="A145" s="19" t="s">
        <v>496</v>
      </c>
      <c r="B145" s="19" t="s">
        <v>497</v>
      </c>
      <c r="C145" s="19" t="s">
        <v>498</v>
      </c>
      <c r="D145" s="20" t="s">
        <v>25</v>
      </c>
      <c r="E145" s="24" t="s">
        <v>152</v>
      </c>
      <c r="F145" s="19" t="s">
        <v>499</v>
      </c>
      <c r="G145" s="19"/>
      <c r="H145" s="19" t="s">
        <v>500</v>
      </c>
    </row>
    <row r="146" customFormat="false" ht="39.75" hidden="false" customHeight="true" outlineLevel="0" collapsed="false">
      <c r="A146" s="19" t="s">
        <v>501</v>
      </c>
      <c r="B146" s="19" t="s">
        <v>497</v>
      </c>
      <c r="C146" s="19" t="s">
        <v>502</v>
      </c>
      <c r="D146" s="22" t="s">
        <v>54</v>
      </c>
      <c r="E146" s="24" t="s">
        <v>152</v>
      </c>
      <c r="F146" s="19" t="s">
        <v>503</v>
      </c>
      <c r="G146" s="19"/>
      <c r="H146" s="19" t="s">
        <v>504</v>
      </c>
    </row>
    <row r="147" customFormat="false" ht="39.75" hidden="false" customHeight="true" outlineLevel="0" collapsed="false">
      <c r="A147" s="19" t="s">
        <v>505</v>
      </c>
      <c r="B147" s="19" t="s">
        <v>497</v>
      </c>
      <c r="C147" s="19" t="s">
        <v>506</v>
      </c>
      <c r="D147" s="22" t="s">
        <v>54</v>
      </c>
      <c r="E147" s="24" t="s">
        <v>152</v>
      </c>
      <c r="F147" s="19" t="s">
        <v>507</v>
      </c>
      <c r="G147" s="19"/>
      <c r="H147" s="19" t="s">
        <v>508</v>
      </c>
    </row>
    <row r="148" customFormat="false" ht="39.75" hidden="false" customHeight="true" outlineLevel="0" collapsed="false">
      <c r="A148" s="19" t="s">
        <v>509</v>
      </c>
      <c r="B148" s="19" t="s">
        <v>497</v>
      </c>
      <c r="C148" s="19" t="s">
        <v>510</v>
      </c>
      <c r="D148" s="20" t="s">
        <v>25</v>
      </c>
      <c r="E148" s="24" t="s">
        <v>152</v>
      </c>
      <c r="F148" s="19" t="s">
        <v>511</v>
      </c>
      <c r="G148" s="19"/>
      <c r="H148" s="19" t="s">
        <v>512</v>
      </c>
    </row>
    <row r="149" customFormat="false" ht="39.75" hidden="false" customHeight="true" outlineLevel="0" collapsed="false">
      <c r="A149" s="19" t="s">
        <v>513</v>
      </c>
      <c r="B149" s="19" t="s">
        <v>514</v>
      </c>
      <c r="C149" s="19" t="s">
        <v>515</v>
      </c>
      <c r="D149" s="22" t="s">
        <v>54</v>
      </c>
      <c r="E149" s="24" t="s">
        <v>152</v>
      </c>
      <c r="F149" s="19" t="s">
        <v>516</v>
      </c>
      <c r="G149" s="19"/>
      <c r="H149" s="19" t="s">
        <v>517</v>
      </c>
    </row>
    <row r="150" customFormat="false" ht="39.75" hidden="false" customHeight="true" outlineLevel="0" collapsed="false">
      <c r="A150" s="19" t="s">
        <v>518</v>
      </c>
      <c r="B150" s="19" t="s">
        <v>519</v>
      </c>
      <c r="C150" s="19" t="s">
        <v>520</v>
      </c>
      <c r="D150" s="20" t="s">
        <v>25</v>
      </c>
      <c r="E150" s="24" t="s">
        <v>152</v>
      </c>
      <c r="F150" s="19" t="s">
        <v>521</v>
      </c>
      <c r="G150" s="19"/>
      <c r="H150" s="19" t="s">
        <v>522</v>
      </c>
    </row>
    <row r="151" customFormat="false" ht="39.75" hidden="false" customHeight="true" outlineLevel="0" collapsed="false">
      <c r="A151" s="19" t="s">
        <v>523</v>
      </c>
      <c r="B151" s="19" t="s">
        <v>519</v>
      </c>
      <c r="C151" s="19" t="s">
        <v>524</v>
      </c>
      <c r="D151" s="22" t="s">
        <v>54</v>
      </c>
      <c r="E151" s="24" t="s">
        <v>152</v>
      </c>
      <c r="F151" s="19" t="s">
        <v>525</v>
      </c>
      <c r="G151" s="19"/>
      <c r="H151" s="19" t="s">
        <v>526</v>
      </c>
    </row>
    <row r="152" customFormat="false" ht="39.75" hidden="false" customHeight="true" outlineLevel="0" collapsed="false">
      <c r="A152" s="19" t="s">
        <v>527</v>
      </c>
      <c r="B152" s="19" t="s">
        <v>519</v>
      </c>
      <c r="C152" s="19" t="s">
        <v>528</v>
      </c>
      <c r="D152" s="22" t="s">
        <v>54</v>
      </c>
      <c r="E152" s="24" t="s">
        <v>152</v>
      </c>
      <c r="F152" s="19" t="s">
        <v>529</v>
      </c>
      <c r="G152" s="19"/>
      <c r="H152" s="19" t="s">
        <v>530</v>
      </c>
    </row>
    <row r="153" customFormat="false" ht="39.75" hidden="false" customHeight="true" outlineLevel="0" collapsed="false">
      <c r="A153" s="19" t="s">
        <v>531</v>
      </c>
      <c r="B153" s="19" t="s">
        <v>519</v>
      </c>
      <c r="C153" s="19" t="s">
        <v>532</v>
      </c>
      <c r="D153" s="22" t="s">
        <v>54</v>
      </c>
      <c r="E153" s="24" t="s">
        <v>152</v>
      </c>
      <c r="F153" s="19" t="s">
        <v>533</v>
      </c>
      <c r="G153" s="19"/>
      <c r="H153" s="19" t="s">
        <v>534</v>
      </c>
    </row>
    <row r="154" customFormat="false" ht="39.75" hidden="false" customHeight="true" outlineLevel="0" collapsed="false">
      <c r="A154" s="19" t="s">
        <v>535</v>
      </c>
      <c r="B154" s="19" t="s">
        <v>536</v>
      </c>
      <c r="C154" s="19" t="s">
        <v>537</v>
      </c>
      <c r="D154" s="22" t="s">
        <v>54</v>
      </c>
      <c r="E154" s="24" t="s">
        <v>152</v>
      </c>
      <c r="F154" s="19" t="s">
        <v>538</v>
      </c>
      <c r="G154" s="19"/>
      <c r="H154" s="19" t="s">
        <v>539</v>
      </c>
    </row>
    <row r="155" customFormat="false" ht="39.75" hidden="false" customHeight="true" outlineLevel="0" collapsed="false">
      <c r="A155" s="19" t="s">
        <v>540</v>
      </c>
      <c r="B155" s="19" t="s">
        <v>541</v>
      </c>
      <c r="C155" s="19" t="s">
        <v>542</v>
      </c>
      <c r="D155" s="23" t="s">
        <v>151</v>
      </c>
      <c r="E155" s="24" t="s">
        <v>152</v>
      </c>
      <c r="F155" s="19" t="s">
        <v>543</v>
      </c>
      <c r="G155" s="19"/>
      <c r="H155" s="19" t="s">
        <v>544</v>
      </c>
    </row>
    <row r="156" customFormat="false" ht="39.75" hidden="false" customHeight="true" outlineLevel="0" collapsed="false">
      <c r="A156" s="19" t="s">
        <v>545</v>
      </c>
      <c r="B156" s="19" t="s">
        <v>541</v>
      </c>
      <c r="C156" s="19" t="s">
        <v>546</v>
      </c>
      <c r="D156" s="23" t="s">
        <v>151</v>
      </c>
      <c r="E156" s="24" t="s">
        <v>152</v>
      </c>
      <c r="F156" s="19" t="s">
        <v>547</v>
      </c>
      <c r="G156" s="19"/>
      <c r="H156" s="19" t="s">
        <v>548</v>
      </c>
    </row>
    <row r="157" customFormat="false" ht="39.75" hidden="false" customHeight="true" outlineLevel="0" collapsed="false">
      <c r="A157" s="19" t="s">
        <v>549</v>
      </c>
      <c r="B157" s="19" t="s">
        <v>541</v>
      </c>
      <c r="C157" s="19" t="s">
        <v>550</v>
      </c>
      <c r="D157" s="22" t="s">
        <v>54</v>
      </c>
      <c r="E157" s="24" t="s">
        <v>152</v>
      </c>
      <c r="F157" s="19" t="s">
        <v>551</v>
      </c>
      <c r="G157" s="19"/>
      <c r="H157" s="19" t="s">
        <v>552</v>
      </c>
    </row>
    <row r="158" customFormat="false" ht="39.75" hidden="false" customHeight="true" outlineLevel="0" collapsed="false">
      <c r="A158" s="19" t="s">
        <v>553</v>
      </c>
      <c r="B158" s="19" t="s">
        <v>541</v>
      </c>
      <c r="C158" s="19" t="s">
        <v>554</v>
      </c>
      <c r="D158" s="22" t="s">
        <v>54</v>
      </c>
      <c r="E158" s="24" t="s">
        <v>152</v>
      </c>
      <c r="F158" s="19" t="s">
        <v>555</v>
      </c>
      <c r="G158" s="19"/>
      <c r="H158" s="19" t="s">
        <v>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4"/>
  </cols>
  <sheetData>
    <row r="1" customFormat="false" ht="27.75" hidden="false" customHeight="true" outlineLevel="0" collapsed="false">
      <c r="A1" s="18" t="s">
        <v>15</v>
      </c>
      <c r="B1" s="18" t="s">
        <v>557</v>
      </c>
      <c r="C1" s="18" t="s">
        <v>558</v>
      </c>
      <c r="D1" s="18" t="s">
        <v>559</v>
      </c>
      <c r="E1" s="18" t="s">
        <v>560</v>
      </c>
      <c r="F1" s="18" t="s">
        <v>12</v>
      </c>
    </row>
    <row r="2" customFormat="false" ht="21.75" hidden="false" customHeight="true" outlineLevel="0" collapsed="false">
      <c r="A2" s="25" t="s">
        <v>23</v>
      </c>
      <c r="B2" s="26" t="n">
        <f aca="false">COUNTIF(Requirements!$B:$B,A2)</f>
        <v>9</v>
      </c>
      <c r="C2" s="27" t="n">
        <f aca="false">COUNTIFS(Requirements!$B:$B,A2,Requirements!$E:$E,"✅ Done")</f>
        <v>9</v>
      </c>
      <c r="D2" s="28" t="n">
        <f aca="false">COUNTIFS(Requirements!$B:$B,A2,Requirements!$E:$E,"🔄 In Progress")</f>
        <v>0</v>
      </c>
      <c r="E2" s="29" t="n">
        <f aca="false">COUNTIFS(Requirements!$B:$B,A2,Requirements!$E:$E,"❌ Not Started")</f>
        <v>0</v>
      </c>
      <c r="F2" s="30" t="n">
        <f aca="false">IFERROR(C2/B2,0)</f>
        <v>1</v>
      </c>
    </row>
    <row r="3" customFormat="false" ht="21.75" hidden="false" customHeight="true" outlineLevel="0" collapsed="false">
      <c r="A3" s="25" t="s">
        <v>57</v>
      </c>
      <c r="B3" s="26" t="n">
        <f aca="false">COUNTIF(Requirements!$B:$B,A3)</f>
        <v>12</v>
      </c>
      <c r="C3" s="27" t="n">
        <f aca="false">COUNTIFS(Requirements!$B:$B,A3,Requirements!$E:$E,"✅ Done")</f>
        <v>12</v>
      </c>
      <c r="D3" s="28" t="n">
        <f aca="false">COUNTIFS(Requirements!$B:$B,A3,Requirements!$E:$E,"🔄 In Progress")</f>
        <v>0</v>
      </c>
      <c r="E3" s="29" t="n">
        <f aca="false">COUNTIFS(Requirements!$B:$B,A3,Requirements!$E:$E,"❌ Not Started")</f>
        <v>0</v>
      </c>
      <c r="F3" s="30" t="n">
        <f aca="false">IFERROR(C3/B3,0)</f>
        <v>1</v>
      </c>
    </row>
    <row r="4" customFormat="false" ht="21.75" hidden="false" customHeight="true" outlineLevel="0" collapsed="false">
      <c r="A4" s="25" t="s">
        <v>97</v>
      </c>
      <c r="B4" s="26" t="n">
        <f aca="false">COUNTIF(Requirements!$B:$B,A4)</f>
        <v>7</v>
      </c>
      <c r="C4" s="27" t="n">
        <f aca="false">COUNTIFS(Requirements!$B:$B,A4,Requirements!$E:$E,"✅ Done")</f>
        <v>7</v>
      </c>
      <c r="D4" s="28" t="n">
        <f aca="false">COUNTIFS(Requirements!$B:$B,A4,Requirements!$E:$E,"🔄 In Progress")</f>
        <v>0</v>
      </c>
      <c r="E4" s="29" t="n">
        <f aca="false">COUNTIFS(Requirements!$B:$B,A4,Requirements!$E:$E,"❌ Not Started")</f>
        <v>0</v>
      </c>
      <c r="F4" s="30" t="n">
        <f aca="false">IFERROR(C4/B4,0)</f>
        <v>1</v>
      </c>
    </row>
    <row r="5" customFormat="false" ht="21.75" hidden="false" customHeight="true" outlineLevel="0" collapsed="false">
      <c r="A5" s="25" t="s">
        <v>119</v>
      </c>
      <c r="B5" s="26" t="n">
        <f aca="false">COUNTIF(Requirements!$B:$B,A5)</f>
        <v>11</v>
      </c>
      <c r="C5" s="27" t="n">
        <f aca="false">COUNTIFS(Requirements!$B:$B,A5,Requirements!$E:$E,"✅ Done")</f>
        <v>10</v>
      </c>
      <c r="D5" s="28" t="n">
        <f aca="false">COUNTIFS(Requirements!$B:$B,A5,Requirements!$E:$E,"🔄 In Progress")</f>
        <v>0</v>
      </c>
      <c r="E5" s="29" t="n">
        <f aca="false">COUNTIFS(Requirements!$B:$B,A5,Requirements!$E:$E,"❌ Not Started")</f>
        <v>1</v>
      </c>
      <c r="F5" s="30" t="n">
        <f aca="false">IFERROR(C5/B5,0)</f>
        <v>0.909090909090909</v>
      </c>
    </row>
    <row r="6" customFormat="false" ht="21.75" hidden="false" customHeight="true" outlineLevel="0" collapsed="false">
      <c r="A6" s="25" t="s">
        <v>155</v>
      </c>
      <c r="B6" s="26" t="n">
        <f aca="false">COUNTIF(Requirements!$B:$B,A6)</f>
        <v>16</v>
      </c>
      <c r="C6" s="27" t="n">
        <f aca="false">COUNTIFS(Requirements!$B:$B,A6,Requirements!$E:$E,"✅ Done")</f>
        <v>16</v>
      </c>
      <c r="D6" s="28" t="n">
        <f aca="false">COUNTIFS(Requirements!$B:$B,A6,Requirements!$E:$E,"🔄 In Progress")</f>
        <v>0</v>
      </c>
      <c r="E6" s="29" t="n">
        <f aca="false">COUNTIFS(Requirements!$B:$B,A6,Requirements!$E:$E,"❌ Not Started")</f>
        <v>0</v>
      </c>
      <c r="F6" s="30" t="n">
        <f aca="false">IFERROR(C6/B6,0)</f>
        <v>1</v>
      </c>
    </row>
    <row r="7" customFormat="false" ht="21.75" hidden="false" customHeight="true" outlineLevel="0" collapsed="false">
      <c r="A7" s="25" t="s">
        <v>204</v>
      </c>
      <c r="B7" s="26" t="n">
        <f aca="false">COUNTIF(Requirements!$B:$B,A7)</f>
        <v>9</v>
      </c>
      <c r="C7" s="27" t="n">
        <f aca="false">COUNTIFS(Requirements!$B:$B,A7,Requirements!$E:$E,"✅ Done")</f>
        <v>9</v>
      </c>
      <c r="D7" s="28" t="n">
        <f aca="false">COUNTIFS(Requirements!$B:$B,A7,Requirements!$E:$E,"🔄 In Progress")</f>
        <v>0</v>
      </c>
      <c r="E7" s="29" t="n">
        <f aca="false">COUNTIFS(Requirements!$B:$B,A7,Requirements!$E:$E,"❌ Not Started")</f>
        <v>0</v>
      </c>
      <c r="F7" s="30" t="n">
        <f aca="false">IFERROR(C7/B7,0)</f>
        <v>1</v>
      </c>
    </row>
    <row r="8" customFormat="false" ht="21.75" hidden="false" customHeight="true" outlineLevel="0" collapsed="false">
      <c r="A8" s="25" t="s">
        <v>233</v>
      </c>
      <c r="B8" s="26" t="n">
        <f aca="false">COUNTIF(Requirements!$B:$B,A8)</f>
        <v>14</v>
      </c>
      <c r="C8" s="27" t="n">
        <f aca="false">COUNTIFS(Requirements!$B:$B,A8,Requirements!$E:$E,"✅ Done")</f>
        <v>13</v>
      </c>
      <c r="D8" s="28" t="n">
        <f aca="false">COUNTIFS(Requirements!$B:$B,A8,Requirements!$E:$E,"🔄 In Progress")</f>
        <v>0</v>
      </c>
      <c r="E8" s="29" t="n">
        <f aca="false">COUNTIFS(Requirements!$B:$B,A8,Requirements!$E:$E,"❌ Not Started")</f>
        <v>1</v>
      </c>
      <c r="F8" s="30" t="n">
        <f aca="false">IFERROR(C8/B8,0)</f>
        <v>0.928571428571429</v>
      </c>
    </row>
    <row r="9" customFormat="false" ht="21.75" hidden="false" customHeight="true" outlineLevel="0" collapsed="false">
      <c r="A9" s="25" t="s">
        <v>277</v>
      </c>
      <c r="B9" s="26" t="n">
        <f aca="false">COUNTIF(Requirements!$B:$B,A9)</f>
        <v>6</v>
      </c>
      <c r="C9" s="27" t="n">
        <f aca="false">COUNTIFS(Requirements!$B:$B,A9,Requirements!$E:$E,"✅ Done")</f>
        <v>6</v>
      </c>
      <c r="D9" s="28" t="n">
        <f aca="false">COUNTIFS(Requirements!$B:$B,A9,Requirements!$E:$E,"🔄 In Progress")</f>
        <v>0</v>
      </c>
      <c r="E9" s="29" t="n">
        <f aca="false">COUNTIFS(Requirements!$B:$B,A9,Requirements!$E:$E,"❌ Not Started")</f>
        <v>0</v>
      </c>
      <c r="F9" s="30" t="n">
        <f aca="false">IFERROR(C9/B9,0)</f>
        <v>1</v>
      </c>
    </row>
    <row r="10" customFormat="false" ht="21.75" hidden="false" customHeight="true" outlineLevel="0" collapsed="false">
      <c r="A10" s="25" t="s">
        <v>295</v>
      </c>
      <c r="B10" s="26" t="n">
        <f aca="false">COUNTIF(Requirements!$B:$B,A10)</f>
        <v>10</v>
      </c>
      <c r="C10" s="27" t="n">
        <f aca="false">COUNTIFS(Requirements!$B:$B,A10,Requirements!$E:$E,"✅ Done")</f>
        <v>10</v>
      </c>
      <c r="D10" s="28" t="n">
        <f aca="false">COUNTIFS(Requirements!$B:$B,A10,Requirements!$E:$E,"🔄 In Progress")</f>
        <v>0</v>
      </c>
      <c r="E10" s="29" t="n">
        <f aca="false">COUNTIFS(Requirements!$B:$B,A10,Requirements!$E:$E,"❌ Not Started")</f>
        <v>0</v>
      </c>
      <c r="F10" s="30" t="n">
        <f aca="false">IFERROR(C10/B10,0)</f>
        <v>1</v>
      </c>
    </row>
    <row r="11" customFormat="false" ht="21.75" hidden="false" customHeight="true" outlineLevel="0" collapsed="false">
      <c r="A11" s="25" t="s">
        <v>326</v>
      </c>
      <c r="B11" s="26" t="n">
        <f aca="false">COUNTIF(Requirements!$B:$B,A11)</f>
        <v>16</v>
      </c>
      <c r="C11" s="27" t="n">
        <f aca="false">COUNTIFS(Requirements!$B:$B,A11,Requirements!$E:$E,"✅ Done")</f>
        <v>12</v>
      </c>
      <c r="D11" s="28" t="n">
        <f aca="false">COUNTIFS(Requirements!$B:$B,A11,Requirements!$E:$E,"🔄 In Progress")</f>
        <v>0</v>
      </c>
      <c r="E11" s="29" t="n">
        <f aca="false">COUNTIFS(Requirements!$B:$B,A11,Requirements!$E:$E,"❌ Not Started")</f>
        <v>4</v>
      </c>
      <c r="F11" s="30" t="n">
        <f aca="false">IFERROR(C11/B11,0)</f>
        <v>0.75</v>
      </c>
    </row>
    <row r="12" customFormat="false" ht="21.75" hidden="false" customHeight="true" outlineLevel="0" collapsed="false">
      <c r="A12" s="25" t="s">
        <v>376</v>
      </c>
      <c r="B12" s="26" t="n">
        <f aca="false">COUNTIF(Requirements!$B:$B,A12)</f>
        <v>10</v>
      </c>
      <c r="C12" s="27" t="n">
        <f aca="false">COUNTIFS(Requirements!$B:$B,A12,Requirements!$E:$E,"✅ Done")</f>
        <v>8</v>
      </c>
      <c r="D12" s="28" t="n">
        <f aca="false">COUNTIFS(Requirements!$B:$B,A12,Requirements!$E:$E,"🔄 In Progress")</f>
        <v>0</v>
      </c>
      <c r="E12" s="29" t="n">
        <f aca="false">COUNTIFS(Requirements!$B:$B,A12,Requirements!$E:$E,"❌ Not Started")</f>
        <v>2</v>
      </c>
      <c r="F12" s="30" t="n">
        <f aca="false">IFERROR(C12/B12,0)</f>
        <v>0.8</v>
      </c>
    </row>
    <row r="13" customFormat="false" ht="21.75" hidden="false" customHeight="true" outlineLevel="0" collapsed="false">
      <c r="A13" s="25" t="s">
        <v>408</v>
      </c>
      <c r="B13" s="26" t="n">
        <f aca="false">COUNTIF(Requirements!$B:$B,A13)</f>
        <v>9</v>
      </c>
      <c r="C13" s="27" t="n">
        <f aca="false">COUNTIFS(Requirements!$B:$B,A13,Requirements!$E:$E,"✅ Done")</f>
        <v>8</v>
      </c>
      <c r="D13" s="28" t="n">
        <f aca="false">COUNTIFS(Requirements!$B:$B,A13,Requirements!$E:$E,"🔄 In Progress")</f>
        <v>0</v>
      </c>
      <c r="E13" s="29" t="n">
        <f aca="false">COUNTIFS(Requirements!$B:$B,A13,Requirements!$E:$E,"❌ Not Started")</f>
        <v>1</v>
      </c>
      <c r="F13" s="30" t="n">
        <f aca="false">IFERROR(C13/B13,0)</f>
        <v>0.888888888888889</v>
      </c>
    </row>
    <row r="14" customFormat="false" ht="21.75" hidden="false" customHeight="true" outlineLevel="0" collapsed="false">
      <c r="A14" s="25" t="s">
        <v>438</v>
      </c>
      <c r="B14" s="26" t="n">
        <f aca="false">COUNTIF(Requirements!$B:$B,A14)</f>
        <v>3</v>
      </c>
      <c r="C14" s="27" t="n">
        <f aca="false">COUNTIFS(Requirements!$B:$B,A14,Requirements!$E:$E,"✅ Done")</f>
        <v>3</v>
      </c>
      <c r="D14" s="28" t="n">
        <f aca="false">COUNTIFS(Requirements!$B:$B,A14,Requirements!$E:$E,"🔄 In Progress")</f>
        <v>0</v>
      </c>
      <c r="E14" s="29" t="n">
        <f aca="false">COUNTIFS(Requirements!$B:$B,A14,Requirements!$E:$E,"❌ Not Started")</f>
        <v>0</v>
      </c>
      <c r="F14" s="30" t="n">
        <f aca="false">IFERROR(C14/B14,0)</f>
        <v>1</v>
      </c>
    </row>
    <row r="15" customFormat="false" ht="21.75" hidden="false" customHeight="true" outlineLevel="0" collapsed="false">
      <c r="A15" s="25" t="s">
        <v>450</v>
      </c>
      <c r="B15" s="26" t="n">
        <f aca="false">COUNTIF(Requirements!$B:$B,A15)</f>
        <v>6</v>
      </c>
      <c r="C15" s="27" t="n">
        <f aca="false">COUNTIFS(Requirements!$B:$B,A15,Requirements!$E:$E,"✅ Done")</f>
        <v>0</v>
      </c>
      <c r="D15" s="28" t="n">
        <f aca="false">COUNTIFS(Requirements!$B:$B,A15,Requirements!$E:$E,"🔄 In Progress")</f>
        <v>0</v>
      </c>
      <c r="E15" s="29" t="n">
        <f aca="false">COUNTIFS(Requirements!$B:$B,A15,Requirements!$E:$E,"❌ Not Started")</f>
        <v>6</v>
      </c>
      <c r="F15" s="30" t="n">
        <f aca="false">IFERROR(C15/B15,0)</f>
        <v>0</v>
      </c>
    </row>
    <row r="16" customFormat="false" ht="21.75" hidden="false" customHeight="true" outlineLevel="0" collapsed="false">
      <c r="A16" s="25" t="s">
        <v>475</v>
      </c>
      <c r="B16" s="26" t="n">
        <f aca="false">COUNTIF(Requirements!$B:$B,A16)</f>
        <v>2</v>
      </c>
      <c r="C16" s="27" t="n">
        <f aca="false">COUNTIFS(Requirements!$B:$B,A16,Requirements!$E:$E,"✅ Done")</f>
        <v>0</v>
      </c>
      <c r="D16" s="28" t="n">
        <f aca="false">COUNTIFS(Requirements!$B:$B,A16,Requirements!$E:$E,"🔄 In Progress")</f>
        <v>0</v>
      </c>
      <c r="E16" s="29" t="n">
        <f aca="false">COUNTIFS(Requirements!$B:$B,A16,Requirements!$E:$E,"❌ Not Started")</f>
        <v>2</v>
      </c>
      <c r="F16" s="30" t="n">
        <f aca="false">IFERROR(C16/B16,0)</f>
        <v>0</v>
      </c>
    </row>
    <row r="17" customFormat="false" ht="21.75" hidden="false" customHeight="true" outlineLevel="0" collapsed="false">
      <c r="A17" s="25" t="s">
        <v>484</v>
      </c>
      <c r="B17" s="26" t="n">
        <f aca="false">COUNTIF(Requirements!$B:$B,A17)</f>
        <v>3</v>
      </c>
      <c r="C17" s="27" t="n">
        <f aca="false">COUNTIFS(Requirements!$B:$B,A17,Requirements!$E:$E,"✅ Done")</f>
        <v>0</v>
      </c>
      <c r="D17" s="28" t="n">
        <f aca="false">COUNTIFS(Requirements!$B:$B,A17,Requirements!$E:$E,"🔄 In Progress")</f>
        <v>0</v>
      </c>
      <c r="E17" s="29" t="n">
        <f aca="false">COUNTIFS(Requirements!$B:$B,A17,Requirements!$E:$E,"❌ Not Started")</f>
        <v>3</v>
      </c>
      <c r="F17" s="30" t="n">
        <f aca="false">IFERROR(C17/B17,0)</f>
        <v>0</v>
      </c>
    </row>
    <row r="18" customFormat="false" ht="21.75" hidden="false" customHeight="true" outlineLevel="0" collapsed="false">
      <c r="A18" s="25" t="s">
        <v>497</v>
      </c>
      <c r="B18" s="26" t="n">
        <f aca="false">COUNTIF(Requirements!$B:$B,A18)</f>
        <v>4</v>
      </c>
      <c r="C18" s="27" t="n">
        <f aca="false">COUNTIFS(Requirements!$B:$B,A18,Requirements!$E:$E,"✅ Done")</f>
        <v>0</v>
      </c>
      <c r="D18" s="28" t="n">
        <f aca="false">COUNTIFS(Requirements!$B:$B,A18,Requirements!$E:$E,"🔄 In Progress")</f>
        <v>0</v>
      </c>
      <c r="E18" s="29" t="n">
        <f aca="false">COUNTIFS(Requirements!$B:$B,A18,Requirements!$E:$E,"❌ Not Started")</f>
        <v>4</v>
      </c>
      <c r="F18" s="30" t="n">
        <f aca="false">IFERROR(C18/B18,0)</f>
        <v>0</v>
      </c>
    </row>
    <row r="19" customFormat="false" ht="21.75" hidden="false" customHeight="true" outlineLevel="0" collapsed="false">
      <c r="A19" s="25" t="s">
        <v>514</v>
      </c>
      <c r="B19" s="26" t="n">
        <f aca="false">COUNTIF(Requirements!$B:$B,A19)</f>
        <v>1</v>
      </c>
      <c r="C19" s="27" t="n">
        <f aca="false">COUNTIFS(Requirements!$B:$B,A19,Requirements!$E:$E,"✅ Done")</f>
        <v>0</v>
      </c>
      <c r="D19" s="28" t="n">
        <f aca="false">COUNTIFS(Requirements!$B:$B,A19,Requirements!$E:$E,"🔄 In Progress")</f>
        <v>0</v>
      </c>
      <c r="E19" s="29" t="n">
        <f aca="false">COUNTIFS(Requirements!$B:$B,A19,Requirements!$E:$E,"❌ Not Started")</f>
        <v>1</v>
      </c>
      <c r="F19" s="30" t="n">
        <f aca="false">IFERROR(C19/B19,0)</f>
        <v>0</v>
      </c>
    </row>
    <row r="20" customFormat="false" ht="21.75" hidden="false" customHeight="true" outlineLevel="0" collapsed="false">
      <c r="A20" s="25" t="s">
        <v>519</v>
      </c>
      <c r="B20" s="26" t="n">
        <f aca="false">COUNTIF(Requirements!$B:$B,A20)</f>
        <v>4</v>
      </c>
      <c r="C20" s="27" t="n">
        <f aca="false">COUNTIFS(Requirements!$B:$B,A20,Requirements!$E:$E,"✅ Done")</f>
        <v>0</v>
      </c>
      <c r="D20" s="28" t="n">
        <f aca="false">COUNTIFS(Requirements!$B:$B,A20,Requirements!$E:$E,"🔄 In Progress")</f>
        <v>0</v>
      </c>
      <c r="E20" s="29" t="n">
        <f aca="false">COUNTIFS(Requirements!$B:$B,A20,Requirements!$E:$E,"❌ Not Started")</f>
        <v>4</v>
      </c>
      <c r="F20" s="30" t="n">
        <f aca="false">IFERROR(C20/B20,0)</f>
        <v>0</v>
      </c>
    </row>
    <row r="21" customFormat="false" ht="21.75" hidden="false" customHeight="true" outlineLevel="0" collapsed="false">
      <c r="A21" s="25" t="s">
        <v>536</v>
      </c>
      <c r="B21" s="26" t="n">
        <f aca="false">COUNTIF(Requirements!$B:$B,A21)</f>
        <v>1</v>
      </c>
      <c r="C21" s="27" t="n">
        <f aca="false">COUNTIFS(Requirements!$B:$B,A21,Requirements!$E:$E,"✅ Done")</f>
        <v>0</v>
      </c>
      <c r="D21" s="28" t="n">
        <f aca="false">COUNTIFS(Requirements!$B:$B,A21,Requirements!$E:$E,"🔄 In Progress")</f>
        <v>0</v>
      </c>
      <c r="E21" s="29" t="n">
        <f aca="false">COUNTIFS(Requirements!$B:$B,A21,Requirements!$E:$E,"❌ Not Started")</f>
        <v>1</v>
      </c>
      <c r="F21" s="30" t="n">
        <f aca="false">IFERROR(C21/B21,0)</f>
        <v>0</v>
      </c>
    </row>
    <row r="22" customFormat="false" ht="21.75" hidden="false" customHeight="true" outlineLevel="0" collapsed="false">
      <c r="A22" s="25" t="s">
        <v>541</v>
      </c>
      <c r="B22" s="26" t="n">
        <f aca="false">COUNTIF(Requirements!$B:$B,A22)</f>
        <v>4</v>
      </c>
      <c r="C22" s="27" t="n">
        <f aca="false">COUNTIFS(Requirements!$B:$B,A22,Requirements!$E:$E,"✅ Done")</f>
        <v>0</v>
      </c>
      <c r="D22" s="28" t="n">
        <f aca="false">COUNTIFS(Requirements!$B:$B,A22,Requirements!$E:$E,"🔄 In Progress")</f>
        <v>0</v>
      </c>
      <c r="E22" s="29" t="n">
        <f aca="false">COUNTIFS(Requirements!$B:$B,A22,Requirements!$E:$E,"❌ Not Started")</f>
        <v>4</v>
      </c>
      <c r="F22" s="30" t="n">
        <f aca="false">IFERROR(C22/B22,0)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22"/>
    <col collapsed="false" customWidth="true" hidden="false" outlineLevel="0" max="5" min="5" style="0" width="55"/>
    <col collapsed="false" customWidth="true" hidden="false" outlineLevel="0" max="8" min="6" style="0" width="8"/>
    <col collapsed="false" customWidth="true" hidden="false" outlineLevel="0" max="9" min="9" style="0" width="45"/>
  </cols>
  <sheetData>
    <row r="1" customFormat="false" ht="7.5" hidden="false" customHeight="true" outlineLevel="0" collapsed="false"/>
    <row r="2" customFormat="false" ht="37.5" hidden="false" customHeight="true" outlineLevel="0" collapsed="false">
      <c r="A2" s="31" t="s">
        <v>561</v>
      </c>
      <c r="B2" s="31"/>
      <c r="C2" s="31"/>
      <c r="D2" s="31"/>
      <c r="E2" s="31"/>
      <c r="F2" s="31"/>
      <c r="G2" s="31"/>
      <c r="H2" s="31"/>
      <c r="I2" s="31"/>
    </row>
    <row r="3" customFormat="false" ht="9.75" hidden="false" customHeight="true" outlineLevel="0" collapsed="false"/>
    <row r="4" customFormat="false" ht="27.75" hidden="false" customHeight="true" outlineLevel="0" collapsed="false">
      <c r="A4" s="18" t="s">
        <v>562</v>
      </c>
      <c r="B4" s="18" t="s">
        <v>563</v>
      </c>
      <c r="C4" s="18" t="s">
        <v>564</v>
      </c>
      <c r="D4" s="18" t="s">
        <v>565</v>
      </c>
      <c r="E4" s="18" t="s">
        <v>566</v>
      </c>
      <c r="F4" s="18" t="s">
        <v>25</v>
      </c>
      <c r="G4" s="18" t="s">
        <v>54</v>
      </c>
      <c r="H4" s="18" t="s">
        <v>151</v>
      </c>
      <c r="I4" s="18" t="s">
        <v>567</v>
      </c>
    </row>
    <row r="5" customFormat="false" ht="72" hidden="false" customHeight="true" outlineLevel="0" collapsed="false">
      <c r="A5" s="32" t="s">
        <v>568</v>
      </c>
      <c r="B5" s="33" t="s">
        <v>569</v>
      </c>
      <c r="C5" s="33" t="s">
        <v>570</v>
      </c>
      <c r="D5" s="33" t="s">
        <v>571</v>
      </c>
      <c r="E5" s="33" t="s">
        <v>572</v>
      </c>
      <c r="F5" s="34" t="n">
        <v>61</v>
      </c>
      <c r="G5" s="34" t="n">
        <v>3</v>
      </c>
      <c r="H5" s="34" t="n">
        <v>1</v>
      </c>
      <c r="I5" s="33" t="s">
        <v>573</v>
      </c>
    </row>
    <row r="6" customFormat="false" ht="72" hidden="false" customHeight="true" outlineLevel="0" collapsed="false">
      <c r="A6" s="35" t="s">
        <v>574</v>
      </c>
      <c r="B6" s="36" t="s">
        <v>575</v>
      </c>
      <c r="C6" s="36" t="s">
        <v>576</v>
      </c>
      <c r="D6" s="36" t="s">
        <v>577</v>
      </c>
      <c r="E6" s="36" t="s">
        <v>578</v>
      </c>
      <c r="F6" s="37" t="n">
        <v>45</v>
      </c>
      <c r="G6" s="37" t="n">
        <v>16</v>
      </c>
      <c r="H6" s="37" t="n">
        <v>6</v>
      </c>
      <c r="I6" s="36" t="s">
        <v>579</v>
      </c>
    </row>
    <row r="7" customFormat="false" ht="72" hidden="false" customHeight="true" outlineLevel="0" collapsed="false">
      <c r="A7" s="38" t="s">
        <v>580</v>
      </c>
      <c r="B7" s="39" t="s">
        <v>581</v>
      </c>
      <c r="C7" s="39" t="s">
        <v>582</v>
      </c>
      <c r="D7" s="39" t="s">
        <v>583</v>
      </c>
      <c r="E7" s="39" t="s">
        <v>584</v>
      </c>
      <c r="F7" s="40" t="n">
        <v>6</v>
      </c>
      <c r="G7" s="40" t="n">
        <v>9</v>
      </c>
      <c r="H7" s="40" t="n">
        <v>0</v>
      </c>
      <c r="I7" s="39" t="s">
        <v>585</v>
      </c>
    </row>
    <row r="8" customFormat="false" ht="72" hidden="false" customHeight="true" outlineLevel="0" collapsed="false">
      <c r="A8" s="41" t="s">
        <v>586</v>
      </c>
      <c r="B8" s="42" t="s">
        <v>587</v>
      </c>
      <c r="C8" s="42" t="s">
        <v>588</v>
      </c>
      <c r="D8" s="42" t="s">
        <v>589</v>
      </c>
      <c r="E8" s="42" t="s">
        <v>590</v>
      </c>
      <c r="F8" s="43" t="n">
        <v>1</v>
      </c>
      <c r="G8" s="43" t="n">
        <v>5</v>
      </c>
      <c r="H8" s="43" t="n">
        <v>0</v>
      </c>
      <c r="I8" s="42" t="s">
        <v>591</v>
      </c>
    </row>
    <row r="9" customFormat="false" ht="72" hidden="false" customHeight="true" outlineLevel="0" collapsed="false">
      <c r="A9" s="44" t="s">
        <v>592</v>
      </c>
      <c r="B9" s="45" t="s">
        <v>593</v>
      </c>
      <c r="C9" s="45" t="s">
        <v>594</v>
      </c>
      <c r="D9" s="45" t="s">
        <v>595</v>
      </c>
      <c r="E9" s="45" t="s">
        <v>596</v>
      </c>
      <c r="F9" s="46" t="n">
        <v>0</v>
      </c>
      <c r="G9" s="46" t="n">
        <v>2</v>
      </c>
      <c r="H9" s="46" t="n">
        <v>2</v>
      </c>
      <c r="I9" s="45" t="s">
        <v>597</v>
      </c>
    </row>
    <row r="11" customFormat="false" ht="19.5" hidden="false" customHeight="true" outlineLevel="0" collapsed="false">
      <c r="A11" s="47" t="s">
        <v>598</v>
      </c>
      <c r="B11" s="47"/>
      <c r="C11" s="47"/>
      <c r="D11" s="47"/>
      <c r="E11" s="47"/>
      <c r="F11" s="47"/>
      <c r="G11" s="47"/>
      <c r="H11" s="47"/>
      <c r="I11" s="47"/>
    </row>
  </sheetData>
  <mergeCells count="2">
    <mergeCell ref="A2:I2"/>
    <mergeCell ref="A11:I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2026-08-15T15:21:52Z</dcterms:created>
  <dc:creator>openpyxl</dc:creator>
  <dc:description/>
  <dc:language>en-US</dc:language>
  <cp:lastModifiedBy/>
  <dcterms:modified xsi:type="dcterms:W3CDTF">2026-08-15T15:21:53Z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