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xvat\Downloads\"/>
    </mc:Choice>
  </mc:AlternateContent>
  <xr:revisionPtr revIDLastSave="0" documentId="13_ncr:1_{4624844B-714E-462E-8F21-9007568F497B}" xr6:coauthVersionLast="47" xr6:coauthVersionMax="47" xr10:uidLastSave="{00000000-0000-0000-0000-000000000000}"/>
  <bookViews>
    <workbookView xWindow="-57720" yWindow="-4755" windowWidth="29040" windowHeight="15720" xr2:uid="{00000000-000D-0000-FFFF-FFFF00000000}"/>
  </bookViews>
  <sheets>
    <sheet name="Scoring_Framework" sheetId="1" r:id="rId1"/>
    <sheet name="Risk_Heat_Mapping" sheetId="2" r:id="rId2"/>
    <sheet name="Geopolitical_Risk_Matrix" sheetId="3" r:id="rId3"/>
    <sheet name="Approval_Workflow" sheetId="4" r:id="rId4"/>
    <sheet name="Formul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3" i="5"/>
  <c r="A2" i="5"/>
</calcChain>
</file>

<file path=xl/sharedStrings.xml><?xml version="1.0" encoding="utf-8"?>
<sst xmlns="http://schemas.openxmlformats.org/spreadsheetml/2006/main" count="167" uniqueCount="116">
  <si>
    <t>Metric Category</t>
  </si>
  <si>
    <t>Weight %</t>
  </si>
  <si>
    <t>Score Range</t>
  </si>
  <si>
    <t>Scoring Guidance</t>
  </si>
  <si>
    <t>1. PROJECT ACTIVITY</t>
  </si>
  <si>
    <t>30%</t>
  </si>
  <si>
    <t xml:space="preserve">  a. Commit Frequency</t>
  </si>
  <si>
    <t>10%</t>
  </si>
  <si>
    <t>0-100</t>
  </si>
  <si>
    <t>Daily=100, Weekly=80, Monthly=60, Quarterly=30, Yearly=10</t>
  </si>
  <si>
    <t xml:space="preserve">  b. Issue Resolution Time</t>
  </si>
  <si>
    <t>8%</t>
  </si>
  <si>
    <t>&lt;24h=100, &lt;7d=80, &lt;30d=60, &gt;30d=20</t>
  </si>
  <si>
    <t xml:space="preserve">  c. Release Cadence</t>
  </si>
  <si>
    <t>7%</t>
  </si>
  <si>
    <t>Monthly=100, Quarterly=80, Biannual=50, Yearly=20</t>
  </si>
  <si>
    <t xml:space="preserve">  d. Maintainer Response Rate</t>
  </si>
  <si>
    <t>5%</t>
  </si>
  <si>
    <t>&gt;90%=100, 70-90%=75, 50-70%=50, &lt;50%=20</t>
  </si>
  <si>
    <t>2. CONTRIBUTOR TRUSTWORTHINESS</t>
  </si>
  <si>
    <t>20%</t>
  </si>
  <si>
    <t xml:space="preserve">  a. Maintainer Identity</t>
  </si>
  <si>
    <t>6%</t>
  </si>
  <si>
    <t>Corp=100, Verified Individual=80, Anonymous=50, New Anonymous=20</t>
  </si>
  <si>
    <t xml:space="preserve">  b. Contributor Diversity</t>
  </si>
  <si>
    <t>&gt;10=100, 5-10=75, 2-5=50, Single=30</t>
  </si>
  <si>
    <t xml:space="preserve">  c. Geopolitical Risk</t>
  </si>
  <si>
    <t>9%</t>
  </si>
  <si>
    <t>Multi-democratic=100, Low-risk=80, Partial high-risk=40, Majority high=10</t>
  </si>
  <si>
    <t>3. SECURITY POSTURE</t>
  </si>
  <si>
    <t>35%</t>
  </si>
  <si>
    <t xml:space="preserve">  a. CVE History (3yr)</t>
  </si>
  <si>
    <t>12%</t>
  </si>
  <si>
    <t>None=100, Low=80, Medium=50, High=10</t>
  </si>
  <si>
    <t xml:space="preserve">  b. CVE Response Time</t>
  </si>
  <si>
    <t>&lt;7d=100, &lt;30d=80, &lt;90d=60, &gt;90d=20</t>
  </si>
  <si>
    <t xml:space="preserve">  c. Security Practices</t>
  </si>
  <si>
    <t>Policy+Bounty=100, Policy=80, Some docs=50, None=10</t>
  </si>
  <si>
    <t xml:space="preserve">  d. Dependency Security</t>
  </si>
  <si>
    <t>All updated=100, &lt;3 minor=80, Some old=40, Vulnerable=0</t>
  </si>
  <si>
    <t>4. COMMUNITY &amp; ADOPTION</t>
  </si>
  <si>
    <t>15%</t>
  </si>
  <si>
    <t xml:space="preserve">  a. Active Usage</t>
  </si>
  <si>
    <t>&gt;1M/wk=100, 100K-1M=80, 10K-100K=60, &lt;10K=30</t>
  </si>
  <si>
    <t xml:space="preserve">  b. Enterprise Adoption</t>
  </si>
  <si>
    <t>4%</t>
  </si>
  <si>
    <t>F500=100, Tech firms=80, Some commercial=50, Individual=20</t>
  </si>
  <si>
    <t xml:space="preserve">  c. Community Engagement</t>
  </si>
  <si>
    <t>Active forums=100, Regular issues=80, Some questions=50, Little interaction=20</t>
  </si>
  <si>
    <t>TOTAL SCORE</t>
  </si>
  <si>
    <t>100%</t>
  </si>
  <si>
    <t>A=90-100, B=80-89, C=70-79, D=60-69, F&lt;60</t>
  </si>
  <si>
    <t>Application Criticality</t>
  </si>
  <si>
    <t>Risk Level</t>
  </si>
  <si>
    <t>Approval Status</t>
  </si>
  <si>
    <t>Notes</t>
  </si>
  <si>
    <t>Mission Critical</t>
  </si>
  <si>
    <t>Low Risk (A-B)</t>
  </si>
  <si>
    <t>APPROVED</t>
  </si>
  <si>
    <t>Auto-approval with monitoring</t>
  </si>
  <si>
    <t>Medium Risk (C)</t>
  </si>
  <si>
    <t>REVIEW BOARD</t>
  </si>
  <si>
    <t>Requires CISO approval</t>
  </si>
  <si>
    <t>High Risk (D-F)</t>
  </si>
  <si>
    <t>PROHIBITED</t>
  </si>
  <si>
    <t>No exceptions permitted</t>
  </si>
  <si>
    <t>Business Critical</t>
  </si>
  <si>
    <t>Standard approval</t>
  </si>
  <si>
    <t>MITIGATION REQ</t>
  </si>
  <si>
    <t>Compensating controls needed</t>
  </si>
  <si>
    <t>Allowed only with VP waiver</t>
  </si>
  <si>
    <t>Non-Critical</t>
  </si>
  <si>
    <t>AUTO-APPROVED</t>
  </si>
  <si>
    <t>No review required</t>
  </si>
  <si>
    <t>Team lead approval</t>
  </si>
  <si>
    <t>Monthly review required</t>
  </si>
  <si>
    <t>Maintainer Type</t>
  </si>
  <si>
    <t>Location</t>
  </si>
  <si>
    <t>Risk Points</t>
  </si>
  <si>
    <t>Weight Multiplier</t>
  </si>
  <si>
    <t>Corporate Entity</t>
  </si>
  <si>
    <t>US/EU/5EYES</t>
  </si>
  <si>
    <t>Low risk multiplier</t>
  </si>
  <si>
    <t>Other Democracies</t>
  </si>
  <si>
    <t>Medium risk multiplier</t>
  </si>
  <si>
    <t>High-Risk Nations</t>
  </si>
  <si>
    <t>High risk multiplier</t>
  </si>
  <si>
    <t>Verified Individual</t>
  </si>
  <si>
    <t>Elevated risk multiplier</t>
  </si>
  <si>
    <t>Very high risk multiplier</t>
  </si>
  <si>
    <t>Anonymous</t>
  </si>
  <si>
    <t>High baseline risk</t>
  </si>
  <si>
    <t>Very high baseline risk</t>
  </si>
  <si>
    <t>Extreme risk - avoid</t>
  </si>
  <si>
    <t>Component Score</t>
  </si>
  <si>
    <t>Review Process</t>
  </si>
  <si>
    <t>&gt;=90</t>
  </si>
  <si>
    <t>Auto-Approved</t>
  </si>
  <si>
    <t>Expedited path</t>
  </si>
  <si>
    <t>80-89</t>
  </si>
  <si>
    <t>Security Review</t>
  </si>
  <si>
    <t>Standard review</t>
  </si>
  <si>
    <t>70-79</t>
  </si>
  <si>
    <t>Legal Review</t>
  </si>
  <si>
    <t>Enhanced scrutiny</t>
  </si>
  <si>
    <t>60-69</t>
  </si>
  <si>
    <t>Architecture Review</t>
  </si>
  <si>
    <t>Requires design changes</t>
  </si>
  <si>
    <t>&lt;60</t>
  </si>
  <si>
    <t>Final Approval</t>
  </si>
  <si>
    <t>CISO/CTO sign-off required</t>
  </si>
  <si>
    <t>Formula</t>
  </si>
  <si>
    <t>Description</t>
  </si>
  <si>
    <t>Total weighted score calculation</t>
  </si>
  <si>
    <t>Automatic risk rating lookup</t>
  </si>
  <si>
    <t>Geopolitical risk auto-flagging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</si>
</sst>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18" sqref="F18"/>
    </sheetView>
  </sheetViews>
  <sheetFormatPr defaultRowHeight="15" x14ac:dyDescent="0.25"/>
  <cols>
    <col min="1" max="1" width="34.140625" bestFit="1" customWidth="1"/>
    <col min="2" max="2" width="9.5703125" bestFit="1" customWidth="1"/>
    <col min="3" max="3" width="11.7109375" bestFit="1" customWidth="1"/>
    <col min="4" max="4" width="7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8</v>
      </c>
      <c r="D4" t="s">
        <v>12</v>
      </c>
    </row>
    <row r="5" spans="1:4" x14ac:dyDescent="0.25">
      <c r="A5" t="s">
        <v>13</v>
      </c>
      <c r="B5" t="s">
        <v>14</v>
      </c>
      <c r="C5" t="s">
        <v>8</v>
      </c>
      <c r="D5" t="s">
        <v>15</v>
      </c>
    </row>
    <row r="6" spans="1:4" x14ac:dyDescent="0.25">
      <c r="A6" t="s">
        <v>16</v>
      </c>
      <c r="B6" t="s">
        <v>17</v>
      </c>
      <c r="C6" t="s">
        <v>8</v>
      </c>
      <c r="D6" t="s">
        <v>18</v>
      </c>
    </row>
    <row r="7" spans="1:4" x14ac:dyDescent="0.25">
      <c r="A7" t="s">
        <v>19</v>
      </c>
      <c r="B7" t="s">
        <v>20</v>
      </c>
    </row>
    <row r="8" spans="1:4" x14ac:dyDescent="0.25">
      <c r="A8" t="s">
        <v>21</v>
      </c>
      <c r="B8" t="s">
        <v>22</v>
      </c>
      <c r="C8" t="s">
        <v>8</v>
      </c>
      <c r="D8" t="s">
        <v>23</v>
      </c>
    </row>
    <row r="9" spans="1:4" x14ac:dyDescent="0.25">
      <c r="A9" t="s">
        <v>24</v>
      </c>
      <c r="B9" t="s">
        <v>17</v>
      </c>
      <c r="C9" t="s">
        <v>8</v>
      </c>
      <c r="D9" t="s">
        <v>25</v>
      </c>
    </row>
    <row r="10" spans="1:4" x14ac:dyDescent="0.25">
      <c r="A10" t="s">
        <v>26</v>
      </c>
      <c r="B10" t="s">
        <v>27</v>
      </c>
      <c r="C10" t="s">
        <v>8</v>
      </c>
      <c r="D10" t="s">
        <v>28</v>
      </c>
    </row>
    <row r="11" spans="1:4" x14ac:dyDescent="0.25">
      <c r="A11" t="s">
        <v>29</v>
      </c>
      <c r="B11" t="s">
        <v>30</v>
      </c>
    </row>
    <row r="12" spans="1:4" x14ac:dyDescent="0.25">
      <c r="A12" t="s">
        <v>31</v>
      </c>
      <c r="B12" t="s">
        <v>32</v>
      </c>
      <c r="C12" t="s">
        <v>8</v>
      </c>
      <c r="D12" t="s">
        <v>33</v>
      </c>
    </row>
    <row r="13" spans="1:4" x14ac:dyDescent="0.25">
      <c r="A13" t="s">
        <v>34</v>
      </c>
      <c r="B13" t="s">
        <v>11</v>
      </c>
      <c r="C13" t="s">
        <v>8</v>
      </c>
      <c r="D13" t="s">
        <v>35</v>
      </c>
    </row>
    <row r="14" spans="1:4" x14ac:dyDescent="0.25">
      <c r="A14" t="s">
        <v>36</v>
      </c>
      <c r="B14" t="s">
        <v>7</v>
      </c>
      <c r="C14" t="s">
        <v>8</v>
      </c>
      <c r="D14" t="s">
        <v>37</v>
      </c>
    </row>
    <row r="15" spans="1:4" x14ac:dyDescent="0.25">
      <c r="A15" t="s">
        <v>38</v>
      </c>
      <c r="B15" t="s">
        <v>17</v>
      </c>
      <c r="C15" t="s">
        <v>8</v>
      </c>
      <c r="D15" t="s">
        <v>39</v>
      </c>
    </row>
    <row r="16" spans="1:4" x14ac:dyDescent="0.25">
      <c r="A16" t="s">
        <v>40</v>
      </c>
      <c r="B16" t="s">
        <v>41</v>
      </c>
    </row>
    <row r="17" spans="1:4" x14ac:dyDescent="0.25">
      <c r="A17" t="s">
        <v>42</v>
      </c>
      <c r="B17" t="s">
        <v>22</v>
      </c>
      <c r="C17" t="s">
        <v>8</v>
      </c>
      <c r="D17" t="s">
        <v>43</v>
      </c>
    </row>
    <row r="18" spans="1:4" x14ac:dyDescent="0.25">
      <c r="A18" t="s">
        <v>44</v>
      </c>
      <c r="B18" t="s">
        <v>45</v>
      </c>
      <c r="C18" t="s">
        <v>8</v>
      </c>
      <c r="D18" t="s">
        <v>46</v>
      </c>
    </row>
    <row r="19" spans="1:4" x14ac:dyDescent="0.25">
      <c r="A19" t="s">
        <v>47</v>
      </c>
      <c r="B19" t="s">
        <v>17</v>
      </c>
      <c r="C19" t="s">
        <v>8</v>
      </c>
      <c r="D19" t="s">
        <v>48</v>
      </c>
    </row>
    <row r="20" spans="1:4" x14ac:dyDescent="0.25">
      <c r="A20" t="s">
        <v>49</v>
      </c>
      <c r="B20" t="s">
        <v>50</v>
      </c>
      <c r="C20" t="s">
        <v>8</v>
      </c>
      <c r="D2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0" sqref="D10"/>
    </sheetView>
  </sheetViews>
  <sheetFormatPr defaultRowHeight="15" x14ac:dyDescent="0.25"/>
  <cols>
    <col min="1" max="1" width="20.28515625" bestFit="1" customWidth="1"/>
    <col min="2" max="2" width="15.5703125" bestFit="1" customWidth="1"/>
    <col min="3" max="3" width="16.5703125" bestFit="1" customWidth="1"/>
    <col min="4" max="4" width="29.140625" bestFit="1" customWidth="1"/>
  </cols>
  <sheetData>
    <row r="1" spans="1:4" x14ac:dyDescent="0.25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25">
      <c r="A2" t="s">
        <v>56</v>
      </c>
      <c r="B2" t="s">
        <v>57</v>
      </c>
      <c r="C2" t="s">
        <v>58</v>
      </c>
      <c r="D2" t="s">
        <v>59</v>
      </c>
    </row>
    <row r="3" spans="1:4" x14ac:dyDescent="0.25">
      <c r="A3" t="s">
        <v>56</v>
      </c>
      <c r="B3" t="s">
        <v>60</v>
      </c>
      <c r="C3" t="s">
        <v>61</v>
      </c>
      <c r="D3" t="s">
        <v>62</v>
      </c>
    </row>
    <row r="4" spans="1:4" x14ac:dyDescent="0.25">
      <c r="A4" t="s">
        <v>56</v>
      </c>
      <c r="B4" t="s">
        <v>63</v>
      </c>
      <c r="C4" t="s">
        <v>64</v>
      </c>
      <c r="D4" t="s">
        <v>65</v>
      </c>
    </row>
    <row r="5" spans="1:4" x14ac:dyDescent="0.25">
      <c r="A5" t="s">
        <v>66</v>
      </c>
      <c r="B5" t="s">
        <v>57</v>
      </c>
      <c r="C5" t="s">
        <v>58</v>
      </c>
      <c r="D5" t="s">
        <v>67</v>
      </c>
    </row>
    <row r="6" spans="1:4" x14ac:dyDescent="0.25">
      <c r="A6" t="s">
        <v>66</v>
      </c>
      <c r="B6" t="s">
        <v>60</v>
      </c>
      <c r="C6" t="s">
        <v>68</v>
      </c>
      <c r="D6" t="s">
        <v>69</v>
      </c>
    </row>
    <row r="7" spans="1:4" x14ac:dyDescent="0.25">
      <c r="A7" t="s">
        <v>66</v>
      </c>
      <c r="B7" t="s">
        <v>63</v>
      </c>
      <c r="C7" t="s">
        <v>64</v>
      </c>
      <c r="D7" t="s">
        <v>70</v>
      </c>
    </row>
    <row r="8" spans="1:4" x14ac:dyDescent="0.25">
      <c r="A8" t="s">
        <v>71</v>
      </c>
      <c r="B8" t="s">
        <v>57</v>
      </c>
      <c r="C8" t="s">
        <v>72</v>
      </c>
      <c r="D8" t="s">
        <v>73</v>
      </c>
    </row>
    <row r="9" spans="1:4" x14ac:dyDescent="0.25">
      <c r="A9" t="s">
        <v>71</v>
      </c>
      <c r="B9" t="s">
        <v>60</v>
      </c>
      <c r="C9" t="s">
        <v>58</v>
      </c>
      <c r="D9" t="s">
        <v>74</v>
      </c>
    </row>
    <row r="10" spans="1:4" x14ac:dyDescent="0.25">
      <c r="A10" t="s">
        <v>71</v>
      </c>
      <c r="B10" t="s">
        <v>63</v>
      </c>
      <c r="C10" t="s">
        <v>68</v>
      </c>
      <c r="D10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 x14ac:dyDescent="0.25"/>
  <sheetData>
    <row r="1" spans="1:5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55</v>
      </c>
    </row>
    <row r="2" spans="1:5" x14ac:dyDescent="0.25">
      <c r="A2" t="s">
        <v>80</v>
      </c>
      <c r="B2" t="s">
        <v>81</v>
      </c>
      <c r="C2">
        <v>5</v>
      </c>
      <c r="D2">
        <v>1</v>
      </c>
      <c r="E2" t="s">
        <v>82</v>
      </c>
    </row>
    <row r="3" spans="1:5" x14ac:dyDescent="0.25">
      <c r="A3" t="s">
        <v>80</v>
      </c>
      <c r="B3" t="s">
        <v>83</v>
      </c>
      <c r="C3">
        <v>10</v>
      </c>
      <c r="D3">
        <v>1.2</v>
      </c>
      <c r="E3" t="s">
        <v>84</v>
      </c>
    </row>
    <row r="4" spans="1:5" x14ac:dyDescent="0.25">
      <c r="A4" t="s">
        <v>80</v>
      </c>
      <c r="B4" t="s">
        <v>85</v>
      </c>
      <c r="C4">
        <v>50</v>
      </c>
      <c r="D4">
        <v>2</v>
      </c>
      <c r="E4" t="s">
        <v>86</v>
      </c>
    </row>
    <row r="5" spans="1:5" x14ac:dyDescent="0.25">
      <c r="A5" t="s">
        <v>87</v>
      </c>
      <c r="B5" t="s">
        <v>81</v>
      </c>
      <c r="C5">
        <v>10</v>
      </c>
      <c r="D5">
        <v>1.2</v>
      </c>
      <c r="E5" t="s">
        <v>84</v>
      </c>
    </row>
    <row r="6" spans="1:5" x14ac:dyDescent="0.25">
      <c r="A6" t="s">
        <v>87</v>
      </c>
      <c r="B6" t="s">
        <v>83</v>
      </c>
      <c r="C6">
        <v>20</v>
      </c>
      <c r="D6">
        <v>1.5</v>
      </c>
      <c r="E6" t="s">
        <v>88</v>
      </c>
    </row>
    <row r="7" spans="1:5" x14ac:dyDescent="0.25">
      <c r="A7" t="s">
        <v>87</v>
      </c>
      <c r="B7" t="s">
        <v>85</v>
      </c>
      <c r="C7">
        <v>75</v>
      </c>
      <c r="D7">
        <v>2.5</v>
      </c>
      <c r="E7" t="s">
        <v>89</v>
      </c>
    </row>
    <row r="8" spans="1:5" x14ac:dyDescent="0.25">
      <c r="A8" t="s">
        <v>90</v>
      </c>
      <c r="B8" t="s">
        <v>81</v>
      </c>
      <c r="C8">
        <v>30</v>
      </c>
      <c r="D8">
        <v>1.5</v>
      </c>
      <c r="E8" t="s">
        <v>91</v>
      </c>
    </row>
    <row r="9" spans="1:5" x14ac:dyDescent="0.25">
      <c r="A9" t="s">
        <v>90</v>
      </c>
      <c r="B9" t="s">
        <v>83</v>
      </c>
      <c r="C9">
        <v>50</v>
      </c>
      <c r="D9">
        <v>2</v>
      </c>
      <c r="E9" t="s">
        <v>92</v>
      </c>
    </row>
    <row r="10" spans="1:5" x14ac:dyDescent="0.25">
      <c r="A10" t="s">
        <v>90</v>
      </c>
      <c r="B10" t="s">
        <v>85</v>
      </c>
      <c r="C10">
        <v>100</v>
      </c>
      <c r="D10">
        <v>3</v>
      </c>
      <c r="E10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94</v>
      </c>
      <c r="B1" s="1" t="s">
        <v>95</v>
      </c>
      <c r="C1" s="1" t="s">
        <v>55</v>
      </c>
    </row>
    <row r="2" spans="1:3" x14ac:dyDescent="0.25">
      <c r="A2" t="s">
        <v>96</v>
      </c>
      <c r="B2" t="s">
        <v>97</v>
      </c>
      <c r="C2" t="s">
        <v>98</v>
      </c>
    </row>
    <row r="3" spans="1:3" x14ac:dyDescent="0.25">
      <c r="A3" t="s">
        <v>99</v>
      </c>
      <c r="B3" t="s">
        <v>100</v>
      </c>
      <c r="C3" t="s">
        <v>101</v>
      </c>
    </row>
    <row r="4" spans="1:3" x14ac:dyDescent="0.25">
      <c r="A4" t="s">
        <v>102</v>
      </c>
      <c r="B4" t="s">
        <v>103</v>
      </c>
      <c r="C4" t="s">
        <v>104</v>
      </c>
    </row>
    <row r="5" spans="1:3" x14ac:dyDescent="0.25">
      <c r="A5" t="s">
        <v>105</v>
      </c>
      <c r="B5" t="s">
        <v>106</v>
      </c>
      <c r="C5" t="s">
        <v>107</v>
      </c>
    </row>
    <row r="6" spans="1:3" x14ac:dyDescent="0.25">
      <c r="A6" t="s">
        <v>108</v>
      </c>
      <c r="B6" t="s">
        <v>109</v>
      </c>
      <c r="C6" t="s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3" sqref="A3"/>
    </sheetView>
  </sheetViews>
  <sheetFormatPr defaultRowHeight="15" x14ac:dyDescent="0.25"/>
  <cols>
    <col min="1" max="1" width="22" customWidth="1"/>
    <col min="2" max="2" width="25.42578125" customWidth="1"/>
  </cols>
  <sheetData>
    <row r="1" spans="1:2" x14ac:dyDescent="0.25">
      <c r="A1" s="1" t="s">
        <v>111</v>
      </c>
      <c r="B1" s="1" t="s">
        <v>112</v>
      </c>
    </row>
    <row r="2" spans="1:2" x14ac:dyDescent="0.25">
      <c r="A2">
        <f>SUMPRODUCT(Scoring_Framework!B2:B22, Scoring_Framework!D2:D22)</f>
        <v>0</v>
      </c>
      <c r="B2" t="s">
        <v>113</v>
      </c>
    </row>
    <row r="3" spans="1:2" x14ac:dyDescent="0.25">
      <c r="A3" t="e">
        <f>VLOOKUP(total_score, risk_rating_table, 2, TRUE)</f>
        <v>#NAME?</v>
      </c>
      <c r="B3" t="s">
        <v>114</v>
      </c>
    </row>
    <row r="4" spans="1:2" x14ac:dyDescent="0.25">
      <c r="A4" t="e">
        <f>IF(geopolitical_risk&gt;75, "Requires Security Review", "Approved")</f>
        <v>#NAME?</v>
      </c>
      <c r="B4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Scoring_Framework</vt:lpstr>
      <vt:lpstr>Risk_Heat_Mapping</vt:lpstr>
      <vt:lpstr>Geopolitical_Risk_Matrix</vt:lpstr>
      <vt:lpstr>Approval_Workflow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nalluri</cp:lastModifiedBy>
  <dcterms:created xsi:type="dcterms:W3CDTF">2025-05-12T07:08:07Z</dcterms:created>
  <dcterms:modified xsi:type="dcterms:W3CDTF">2025-05-12T07:11:58Z</dcterms:modified>
</cp:coreProperties>
</file>